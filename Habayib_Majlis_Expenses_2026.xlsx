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My Drive\Money Loan 2026\Majlis\"/>
    </mc:Choice>
  </mc:AlternateContent>
  <xr:revisionPtr revIDLastSave="0" documentId="13_ncr:1_{22E6847D-4D2A-4FEE-BCE9-F8C35C1928E4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Individual_Payments" sheetId="3" r:id="rId1"/>
    <sheet name="General_Expenses" sheetId="2" r:id="rId2"/>
  </sheets>
  <definedNames>
    <definedName name="_xlnm._FilterDatabase" localSheetId="1" hidden="1">General_Expenses!$B$4:$D$4</definedName>
    <definedName name="_xlnm._FilterDatabase" localSheetId="0" hidden="1">Individual_Payments!#REF!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/>
  <c r="J15" i="3"/>
  <c r="J130" i="3"/>
  <c r="J119" i="3"/>
  <c r="J108" i="3"/>
  <c r="J97" i="3"/>
  <c r="J86" i="3"/>
  <c r="J75" i="3"/>
  <c r="J65" i="3"/>
  <c r="J55" i="3"/>
  <c r="J45" i="3"/>
  <c r="J35" i="3"/>
  <c r="J25" i="3"/>
  <c r="C13" i="2"/>
</calcChain>
</file>

<file path=xl/sharedStrings.xml><?xml version="1.0" encoding="utf-8"?>
<sst xmlns="http://schemas.openxmlformats.org/spreadsheetml/2006/main" count="416" uniqueCount="133">
  <si>
    <t>وصف المصروفات</t>
  </si>
  <si>
    <t>المبلغ</t>
  </si>
  <si>
    <t>التاريخ</t>
  </si>
  <si>
    <t>شاي</t>
  </si>
  <si>
    <t>ملاحظات</t>
  </si>
  <si>
    <t>حسين المغلق - أبو هادي</t>
  </si>
  <si>
    <t>فاضل الموسوي - أبو هاشم</t>
  </si>
  <si>
    <t>حسين الشويخ - أبو مرتضى</t>
  </si>
  <si>
    <t>أحمد وهب - أبو محمد</t>
  </si>
  <si>
    <t>علي أبو حسون - أبو ريماس</t>
  </si>
  <si>
    <t>سعد العلي - أبو نايف</t>
  </si>
  <si>
    <t>حسن الصادق - أبو جود</t>
  </si>
  <si>
    <t>سيد وصفي - أبو مهدي</t>
  </si>
  <si>
    <t>أحمد العبدالله - أبو نور</t>
  </si>
  <si>
    <t>حسن المحسن - أبو محمد</t>
  </si>
  <si>
    <t>سليكون</t>
  </si>
  <si>
    <t>تعبئة غازات</t>
  </si>
  <si>
    <t>تم - حوالتين: ١ جانواري + ١٣ جانواري</t>
  </si>
  <si>
    <t>تم - حوالة ٢٧ جانواري ٢٠٢٦</t>
  </si>
  <si>
    <t>تم - حوالة ٢٨ جانواري ٢٠٢٦</t>
  </si>
  <si>
    <t>تم - حوالة ٢٧ جانواري ٢٠٢٦ + ٢٩ جانواري</t>
  </si>
  <si>
    <t>تم - حوالة ١ جانواري ٢٠٢٦ + ٢٩ جانواري</t>
  </si>
  <si>
    <t>عزبة جانواري ٢٠٢٦</t>
  </si>
  <si>
    <t>تم - حوالة ١٣ جانواري ٢٠٢٦ + ٢٨</t>
  </si>
  <si>
    <t>تم - حوالة ١ جانواري ٢٠٢٦ + ٢٩</t>
  </si>
  <si>
    <t>تم - حوالة ٢٩ جانواري ٢٠٢٦</t>
  </si>
  <si>
    <t>نت فلكس</t>
  </si>
  <si>
    <t>تم - حوالة ٣١ جانواري ٢٠٢٦</t>
  </si>
  <si>
    <t>شاي وسكر</t>
  </si>
  <si>
    <t>ماي</t>
  </si>
  <si>
    <t>سكر + مواد تنظيف</t>
  </si>
  <si>
    <t>تم - حوالة ٢٠ فبراير ٢٠٢٦</t>
  </si>
  <si>
    <t>اكياس زبالة</t>
  </si>
  <si>
    <t>ولاعة</t>
  </si>
  <si>
    <t>تم - حوالة ٢٦ فبراير ٢٠٢٦</t>
  </si>
  <si>
    <t>Netflix</t>
  </si>
  <si>
    <t>تم - حوالة ٢٨ فبراير ٢٠٢٦</t>
  </si>
  <si>
    <t>تم - حوالة ١ مارس ٢٠٢٦</t>
  </si>
  <si>
    <t>عزبة فبراير ٢٠٢٦</t>
  </si>
  <si>
    <t>كلينكس</t>
  </si>
  <si>
    <t>تصليح المكيف</t>
  </si>
  <si>
    <t>تم - حوالة ٢ مارس ٢٠٢٦</t>
  </si>
  <si>
    <t>تم - حوالة ٢٦ مارس ٢٠٢٦</t>
  </si>
  <si>
    <t>تم - حوالة ٥ مارس ٢٠٢٦</t>
  </si>
  <si>
    <t>تم - حوالة 1 أبريل ٢٠٢٦</t>
  </si>
  <si>
    <t>تم - حوالة ٢٩ مارس ٢٠٢٦</t>
  </si>
  <si>
    <t>تم - حوالة ٢٦ أبريل ٢٠٢٦</t>
  </si>
  <si>
    <t>تم - حوالة ٢٧ أبريل ٢٠٢٦</t>
  </si>
  <si>
    <t>تم - حوالة 28 أبريل ٢٠٢٦</t>
  </si>
  <si>
    <t>تم - حوالة ٢٩ أبريل ٢٠٢٦</t>
  </si>
  <si>
    <t>تم - حوالة ٢٨ أبريل ٢٠٢٦</t>
  </si>
  <si>
    <t>تم - حوالة ٣٠ أبريل ٢٠٢٦</t>
  </si>
  <si>
    <t>شاهد</t>
  </si>
  <si>
    <t>قهوة</t>
  </si>
  <si>
    <t>تم - حوالة ١٦ مايو ٢٠٢٦</t>
  </si>
  <si>
    <t>اشتراك اي بي تي في</t>
  </si>
  <si>
    <t>شاي الوزة</t>
  </si>
  <si>
    <t>سكر داندريل</t>
  </si>
  <si>
    <t>تم - حوالة 1 جون 2026</t>
  </si>
  <si>
    <t>عزبة مارس ٢٠٢٦</t>
  </si>
  <si>
    <t>عزبة أبريل ٢٠٢٦</t>
  </si>
  <si>
    <t>عزبة مايو ٢٠٢٦</t>
  </si>
  <si>
    <t>عزبة جون ٢٠٢٦</t>
  </si>
  <si>
    <t>تم - حوالة ٢ جون ٢٠٢٦</t>
  </si>
  <si>
    <t>ماي للمجلس</t>
  </si>
  <si>
    <t>مبلغ العزبة المتاح</t>
  </si>
  <si>
    <t>الشهر</t>
  </si>
  <si>
    <t>اسم المشارك</t>
  </si>
  <si>
    <t>تم الدفع؟</t>
  </si>
  <si>
    <t>تاريخ الدفع</t>
  </si>
  <si>
    <t>طريقة الدفع</t>
  </si>
  <si>
    <t>عدد المشاركين</t>
  </si>
  <si>
    <t>2/29/2026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</si>
  <si>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</si>
  <si>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</si>
  <si>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</si>
  <si>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</si>
  <si>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</si>
  <si>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</si>
  <si>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</si>
  <si>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</si>
  <si>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</si>
  <si>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</si>
  <si>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</si>
  <si>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</si>
  <si>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تم الدفع</t>
  </si>
  <si>
    <t>لم يتم الدفع</t>
  </si>
  <si>
    <t>المصروفات العامة</t>
  </si>
  <si>
    <t>المتبقي من سنة ٢٠٢٥</t>
  </si>
  <si>
    <t>تم - حوالة ٢٤ جون ٢٠٢٦</t>
  </si>
  <si>
    <t>تم - حوالة 29 جانواري ٢٠٢٦ + ٢٩ جانواري</t>
  </si>
  <si>
    <t>تم - حوالة 26 جون ٢٠٢٦</t>
  </si>
  <si>
    <t>تم - حوالة 27 جون 2026</t>
  </si>
  <si>
    <t>عزبة جولاي ٢٠٢٦</t>
  </si>
  <si>
    <t>تم - حوالة 28 جون 2026</t>
  </si>
  <si>
    <t>تم - حوالة 1 جولاي ٢٠٢٦</t>
  </si>
  <si>
    <t>تم - حوالة ٢٨ جون ٢٠٢٦</t>
  </si>
  <si>
    <t>شاي + سكر</t>
  </si>
  <si>
    <t>تم - حوالة 9 جولاي ٢٠٢٦ - 150 ريال لثلاث شهور</t>
  </si>
  <si>
    <t>تم - حوالة 9 جولاي ٢٠٢٦</t>
  </si>
  <si>
    <t>مشتربات عن طريق ميثم</t>
  </si>
  <si>
    <t>تم - حوالة 27 جولاي ٢٠٢٦</t>
  </si>
  <si>
    <t>تم - حوالة 28 جولاي ٢٠٢٦</t>
  </si>
  <si>
    <t>تم - حوالة ثانية في نفس اليوم 28 جولاي ٢٠٢٦</t>
  </si>
  <si>
    <t>تم - حوالة 30 جولاي ٢٠٢٦</t>
  </si>
  <si>
    <t>تم - حوالة ٢ أغسطس ٢٠٢٦</t>
  </si>
  <si>
    <t>تم - حوالة ٢ أغسطس ٢٠٢٦ - ]دفعة ثانية في نفس اليوم</t>
  </si>
  <si>
    <t>كراتين ماي</t>
  </si>
  <si>
    <t>تم - حوالة 6 أغسطس ٢٠٢٦</t>
  </si>
  <si>
    <t>تم - حوالة 6 أغسطس ٢٠٢٦ - الدفعة الأولى</t>
  </si>
  <si>
    <t>تم - حوالة 6 أغسطس ٢٠٢٦ - الدفعة الثانية في نفس اليوم</t>
  </si>
  <si>
    <t>تم - حوالة 14 أغسطس ٢٠٢٦</t>
  </si>
  <si>
    <t>تم - حوالة 14 أغسطس ٢٠٢٦ - دفعة ثانية في نفس اليوم</t>
  </si>
  <si>
    <t>تم</t>
  </si>
  <si>
    <t>أغراض عامة</t>
  </si>
  <si>
    <t>تم - حوالة 27 أغسطس ٢٠٢٦</t>
  </si>
  <si>
    <t>تم - حوالة 27 أغسطس ٢٠٢٦ - الدفعة الأولى</t>
  </si>
  <si>
    <t>تم - حوالة 27 أغسطس ٢٠٢٦ - الدفعة الثانية في نفس اليوم</t>
  </si>
  <si>
    <t>ميرزا آل إبراهيم - أبو رضا</t>
  </si>
  <si>
    <t>نظيف الحوش</t>
  </si>
  <si>
    <t>لمبات</t>
  </si>
  <si>
    <t>تبديل الغاز - 4 سلندرات</t>
  </si>
  <si>
    <t>تم - حوالة 26 سبتمبر ٢٠٢٦</t>
  </si>
  <si>
    <t>تم - حوالة 27 سبتمبر ٢٠٢٦</t>
  </si>
  <si>
    <t>عزبة أغسطس ٢٠٢٦</t>
  </si>
  <si>
    <t>عزبة سبتمبر ٢٠٢٦</t>
  </si>
  <si>
    <t>عزبة أكتوبر ٢٠٢٦</t>
  </si>
  <si>
    <t>عزبة نوفمبر ٢٠٢٦</t>
  </si>
  <si>
    <t>عزبة ديسمبر ٢٠٢٦</t>
  </si>
  <si>
    <t>تم - حوالة 1 أكتوبر ٢٠٢٦</t>
  </si>
  <si>
    <t>تم - حوالة 5 أكتوبر ٢٠٢٦</t>
  </si>
  <si>
    <t>تم - حوالة 4 أكتوبر ٢٠٢٦</t>
  </si>
  <si>
    <t>تم - حوالة 9 أكتوبر 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</si>
</sst>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yy"/>
    <numFmt numFmtId="165" formatCode="[$-409]mmmm\ d\,\ yyyy;@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sz val="4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" fontId="1" fillId="3" borderId="7" xfId="0" applyNumberFormat="1" applyFont="1" applyFill="1" applyBorder="1" applyAlignment="1">
      <alignment horizontal="center" vertical="center"/>
    </xf>
    <xf numFmtId="16" fontId="1" fillId="2" borderId="7" xfId="0" applyNumberFormat="1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16" fontId="1" fillId="2" borderId="10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16" fontId="1" fillId="3" borderId="5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16" fontId="1" fillId="3" borderId="10" xfId="0" applyNumberFormat="1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9" xfId="0" applyNumberFormat="1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0" fontId="3" fillId="0" borderId="0" xfId="0" applyFont="1"/>
    <xf numFmtId="1" fontId="1" fillId="2" borderId="11" xfId="0" applyNumberFormat="1" applyFont="1" applyFill="1" applyBorder="1" applyAlignment="1">
      <alignment horizontal="center" vertical="center"/>
    </xf>
    <xf numFmtId="16" fontId="1" fillId="3" borderId="15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1" fontId="1" fillId="3" borderId="16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165" fontId="1" fillId="3" borderId="16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2" fontId="1" fillId="3" borderId="17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30CF-4BF9-467D-B811-6F66C3721190}">
  <dimension ref="A4:J131"/>
  <sheetViews>
    <sheetView rightToLeft="1" tabSelected="1" topLeftCell="A75" zoomScale="70" zoomScaleNormal="70" zoomScaleSheetLayoutView="100" workbookViewId="0">
      <selection activeCell="L92" sqref="L92"/>
    </sheetView>
  </sheetViews>
  <sheetFormatPr defaultRowHeight="14.4" x14ac:dyDescent="0.3"/>
  <cols>
    <col min="1" max="1" width="24.5546875" bestFit="1" customWidth="1"/>
    <col min="2" max="2" width="17.44140625" bestFit="1" customWidth="1"/>
    <col min="3" max="3" width="31.6640625" bestFit="1" customWidth="1"/>
    <col min="4" max="4" width="7.77734375" style="7" bestFit="1" customWidth="1"/>
    <col min="5" max="5" width="15.21875" style="7" bestFit="1" customWidth="1"/>
    <col min="6" max="6" width="29.6640625" style="7" bestFit="1" customWidth="1"/>
    <col min="7" max="7" width="15.21875" style="7" bestFit="1" customWidth="1"/>
    <col min="8" max="8" width="69.33203125" bestFit="1" customWidth="1"/>
    <col min="9" max="9" width="16.33203125" bestFit="1" customWidth="1"/>
    <col min="10" max="10" width="8.33203125" bestFit="1" customWidth="1"/>
  </cols>
  <sheetData>
    <row r="4" spans="1:10" ht="15" thickBot="1" x14ac:dyDescent="0.35"/>
    <row r="5" spans="1:10" ht="24.6" thickTop="1" thickBot="1" x14ac:dyDescent="0.35">
      <c r="A5" s="25" t="s">
        <v>66</v>
      </c>
      <c r="B5" s="25" t="s">
        <v>71</v>
      </c>
      <c r="C5" s="26" t="s">
        <v>67</v>
      </c>
      <c r="D5" s="25" t="s">
        <v>1</v>
      </c>
      <c r="E5" s="25" t="s">
        <v>68</v>
      </c>
      <c r="F5" s="25" t="s">
        <v>69</v>
      </c>
      <c r="G5" s="25" t="s">
        <v>70</v>
      </c>
      <c r="H5" s="27" t="s">
        <v>4</v>
      </c>
    </row>
    <row r="6" spans="1:10" ht="24" thickTop="1" x14ac:dyDescent="0.3">
      <c r="A6" s="28">
        <v>46023</v>
      </c>
      <c r="B6" s="29">
        <v>1</v>
      </c>
      <c r="C6" s="30" t="s">
        <v>5</v>
      </c>
      <c r="D6" s="38">
        <v>100</v>
      </c>
      <c r="E6" s="31" t="s">
        <v>85</v>
      </c>
      <c r="F6" s="32">
        <v>46023</v>
      </c>
      <c r="G6" s="32"/>
      <c r="H6" s="33" t="s">
        <v>113</v>
      </c>
      <c r="I6" s="59" t="s">
        <v>73</v>
      </c>
    </row>
    <row r="7" spans="1:10" ht="23.4" x14ac:dyDescent="0.3">
      <c r="A7" s="16">
        <v>46023</v>
      </c>
      <c r="B7" s="13">
        <v>2</v>
      </c>
      <c r="C7" s="3" t="s">
        <v>6</v>
      </c>
      <c r="D7" s="39">
        <v>100</v>
      </c>
      <c r="E7" s="5" t="s">
        <v>85</v>
      </c>
      <c r="F7" s="12">
        <v>46050</v>
      </c>
      <c r="G7" s="12"/>
      <c r="H7" s="17" t="s">
        <v>19</v>
      </c>
      <c r="I7" s="60"/>
    </row>
    <row r="8" spans="1:10" ht="23.4" x14ac:dyDescent="0.3">
      <c r="A8" s="16">
        <v>46023</v>
      </c>
      <c r="B8" s="13">
        <v>3</v>
      </c>
      <c r="C8" s="3" t="s">
        <v>7</v>
      </c>
      <c r="D8" s="39">
        <v>100</v>
      </c>
      <c r="E8" s="5" t="s">
        <v>85</v>
      </c>
      <c r="F8" s="12">
        <v>46023</v>
      </c>
      <c r="G8" s="12"/>
      <c r="H8" s="17" t="s">
        <v>17</v>
      </c>
      <c r="I8" s="60"/>
    </row>
    <row r="9" spans="1:10" ht="23.4" x14ac:dyDescent="0.3">
      <c r="A9" s="16">
        <v>46023</v>
      </c>
      <c r="B9" s="13">
        <v>4</v>
      </c>
      <c r="C9" s="3" t="s">
        <v>8</v>
      </c>
      <c r="D9" s="39">
        <v>100</v>
      </c>
      <c r="E9" s="5" t="s">
        <v>85</v>
      </c>
      <c r="F9" s="12">
        <v>46035</v>
      </c>
      <c r="G9" s="12"/>
      <c r="H9" s="17" t="s">
        <v>23</v>
      </c>
      <c r="I9" s="60"/>
    </row>
    <row r="10" spans="1:10" ht="23.4" x14ac:dyDescent="0.3">
      <c r="A10" s="16">
        <v>46023</v>
      </c>
      <c r="B10" s="13">
        <v>5</v>
      </c>
      <c r="C10" s="3" t="s">
        <v>9</v>
      </c>
      <c r="D10" s="39">
        <v>100</v>
      </c>
      <c r="E10" s="5" t="s">
        <v>85</v>
      </c>
      <c r="F10" s="12">
        <v>46049</v>
      </c>
      <c r="G10" s="12"/>
      <c r="H10" s="17" t="s">
        <v>20</v>
      </c>
      <c r="I10" s="60"/>
    </row>
    <row r="11" spans="1:10" ht="23.4" x14ac:dyDescent="0.3">
      <c r="A11" s="16">
        <v>46023</v>
      </c>
      <c r="B11" s="13">
        <v>6</v>
      </c>
      <c r="C11" s="3" t="s">
        <v>10</v>
      </c>
      <c r="D11" s="39">
        <v>100</v>
      </c>
      <c r="E11" s="5" t="s">
        <v>85</v>
      </c>
      <c r="F11" s="12">
        <v>46023</v>
      </c>
      <c r="G11" s="12"/>
      <c r="H11" s="17" t="s">
        <v>24</v>
      </c>
      <c r="I11" s="60"/>
    </row>
    <row r="12" spans="1:10" ht="23.4" x14ac:dyDescent="0.3">
      <c r="A12" s="16">
        <v>46023</v>
      </c>
      <c r="B12" s="13">
        <v>7</v>
      </c>
      <c r="C12" s="3" t="s">
        <v>12</v>
      </c>
      <c r="D12" s="39">
        <v>100</v>
      </c>
      <c r="E12" s="5" t="s">
        <v>85</v>
      </c>
      <c r="F12" s="12">
        <v>46023</v>
      </c>
      <c r="G12" s="12"/>
      <c r="H12" s="17" t="s">
        <v>21</v>
      </c>
      <c r="I12" s="60"/>
    </row>
    <row r="13" spans="1:10" ht="23.4" x14ac:dyDescent="0.3">
      <c r="A13" s="16">
        <v>46023</v>
      </c>
      <c r="B13" s="13">
        <v>8</v>
      </c>
      <c r="C13" s="3" t="s">
        <v>14</v>
      </c>
      <c r="D13" s="39">
        <v>100</v>
      </c>
      <c r="E13" s="5" t="s">
        <v>85</v>
      </c>
      <c r="F13" s="12">
        <v>46053</v>
      </c>
      <c r="G13" s="12"/>
      <c r="H13" s="17" t="s">
        <v>27</v>
      </c>
      <c r="I13" s="60"/>
    </row>
    <row r="14" spans="1:10" ht="24" thickBot="1" x14ac:dyDescent="0.35">
      <c r="A14" s="16">
        <v>46023</v>
      </c>
      <c r="B14" s="13">
        <v>9</v>
      </c>
      <c r="C14" s="3" t="s">
        <v>13</v>
      </c>
      <c r="D14" s="39">
        <v>100</v>
      </c>
      <c r="E14" s="5" t="s">
        <v>85</v>
      </c>
      <c r="F14" s="12">
        <v>46050</v>
      </c>
      <c r="G14" s="12"/>
      <c r="H14" s="17" t="s">
        <v>19</v>
      </c>
      <c r="I14" s="60"/>
    </row>
    <row r="15" spans="1:10" ht="24.6" thickTop="1" thickBot="1" x14ac:dyDescent="0.35">
      <c r="A15" s="19">
        <v>46023</v>
      </c>
      <c r="B15" s="20">
        <v>10</v>
      </c>
      <c r="C15" s="34" t="s">
        <v>11</v>
      </c>
      <c r="D15" s="40">
        <v>100</v>
      </c>
      <c r="E15" s="35" t="s">
        <v>85</v>
      </c>
      <c r="F15" s="36">
        <v>46049</v>
      </c>
      <c r="G15" s="36"/>
      <c r="H15" s="37" t="s">
        <v>18</v>
      </c>
      <c r="I15" s="61"/>
      <c r="J15" s="48">
        <f>SUM(D6:D15)</f>
        <v>1000</v>
      </c>
    </row>
    <row r="16" spans="1:10" ht="24" thickTop="1" x14ac:dyDescent="0.3">
      <c r="A16" s="28">
        <v>46054</v>
      </c>
      <c r="B16" s="29">
        <v>1</v>
      </c>
      <c r="C16" s="30" t="s">
        <v>5</v>
      </c>
      <c r="D16" s="38">
        <v>50</v>
      </c>
      <c r="E16" s="31" t="s">
        <v>85</v>
      </c>
      <c r="F16" s="32">
        <v>46054</v>
      </c>
      <c r="G16" s="31"/>
      <c r="H16" s="33" t="s">
        <v>113</v>
      </c>
      <c r="I16" s="59" t="s">
        <v>74</v>
      </c>
    </row>
    <row r="17" spans="1:10" ht="23.4" x14ac:dyDescent="0.3">
      <c r="A17" s="16">
        <v>46054</v>
      </c>
      <c r="B17" s="13">
        <v>2</v>
      </c>
      <c r="C17" s="3" t="s">
        <v>6</v>
      </c>
      <c r="D17" s="39">
        <v>50</v>
      </c>
      <c r="E17" s="5" t="s">
        <v>85</v>
      </c>
      <c r="F17" s="12">
        <v>46050</v>
      </c>
      <c r="G17" s="5"/>
      <c r="H17" s="17" t="s">
        <v>19</v>
      </c>
      <c r="I17" s="60"/>
    </row>
    <row r="18" spans="1:10" ht="23.4" x14ac:dyDescent="0.3">
      <c r="A18" s="16">
        <v>46054</v>
      </c>
      <c r="B18" s="13">
        <v>3</v>
      </c>
      <c r="C18" s="3" t="s">
        <v>7</v>
      </c>
      <c r="D18" s="39">
        <v>50</v>
      </c>
      <c r="E18" s="5" t="s">
        <v>85</v>
      </c>
      <c r="F18" s="12">
        <v>46073</v>
      </c>
      <c r="G18" s="5"/>
      <c r="H18" s="17" t="s">
        <v>31</v>
      </c>
      <c r="I18" s="60"/>
    </row>
    <row r="19" spans="1:10" ht="23.4" x14ac:dyDescent="0.3">
      <c r="A19" s="16">
        <v>46054</v>
      </c>
      <c r="B19" s="13">
        <v>4</v>
      </c>
      <c r="C19" s="3" t="s">
        <v>8</v>
      </c>
      <c r="D19" s="39">
        <v>50</v>
      </c>
      <c r="E19" s="5" t="s">
        <v>85</v>
      </c>
      <c r="F19" s="12">
        <v>46081</v>
      </c>
      <c r="G19" s="5"/>
      <c r="H19" s="17" t="s">
        <v>36</v>
      </c>
      <c r="I19" s="60"/>
    </row>
    <row r="20" spans="1:10" ht="23.4" x14ac:dyDescent="0.3">
      <c r="A20" s="16">
        <v>46054</v>
      </c>
      <c r="B20" s="13">
        <v>5</v>
      </c>
      <c r="C20" s="3" t="s">
        <v>9</v>
      </c>
      <c r="D20" s="39">
        <v>50</v>
      </c>
      <c r="E20" s="5" t="s">
        <v>85</v>
      </c>
      <c r="F20" s="12">
        <v>46079</v>
      </c>
      <c r="G20" s="5"/>
      <c r="H20" s="17" t="s">
        <v>34</v>
      </c>
      <c r="I20" s="60"/>
    </row>
    <row r="21" spans="1:10" ht="23.4" x14ac:dyDescent="0.3">
      <c r="A21" s="16">
        <v>46054</v>
      </c>
      <c r="B21" s="13">
        <v>6</v>
      </c>
      <c r="C21" s="3" t="s">
        <v>10</v>
      </c>
      <c r="D21" s="39">
        <v>50</v>
      </c>
      <c r="E21" s="5" t="s">
        <v>85</v>
      </c>
      <c r="F21" s="12" t="s">
        <v>72</v>
      </c>
      <c r="G21" s="5"/>
      <c r="H21" s="17" t="s">
        <v>25</v>
      </c>
      <c r="I21" s="60"/>
    </row>
    <row r="22" spans="1:10" ht="23.4" x14ac:dyDescent="0.3">
      <c r="A22" s="16">
        <v>46054</v>
      </c>
      <c r="B22" s="13">
        <v>7</v>
      </c>
      <c r="C22" s="3" t="s">
        <v>12</v>
      </c>
      <c r="D22" s="39">
        <v>50</v>
      </c>
      <c r="E22" s="5" t="s">
        <v>85</v>
      </c>
      <c r="F22" s="12">
        <v>46051</v>
      </c>
      <c r="G22" s="5"/>
      <c r="H22" s="17" t="s">
        <v>90</v>
      </c>
      <c r="I22" s="60"/>
    </row>
    <row r="23" spans="1:10" ht="23.4" x14ac:dyDescent="0.3">
      <c r="A23" s="16">
        <v>46054</v>
      </c>
      <c r="B23" s="13">
        <v>8</v>
      </c>
      <c r="C23" s="3" t="s">
        <v>14</v>
      </c>
      <c r="D23" s="39">
        <v>50</v>
      </c>
      <c r="E23" s="5" t="s">
        <v>85</v>
      </c>
      <c r="F23" s="12">
        <v>46053</v>
      </c>
      <c r="G23" s="5"/>
      <c r="H23" s="17" t="s">
        <v>27</v>
      </c>
      <c r="I23" s="60"/>
    </row>
    <row r="24" spans="1:10" ht="24" thickBot="1" x14ac:dyDescent="0.35">
      <c r="A24" s="16">
        <v>46054</v>
      </c>
      <c r="B24" s="13">
        <v>9</v>
      </c>
      <c r="C24" s="3" t="s">
        <v>13</v>
      </c>
      <c r="D24" s="39">
        <v>50</v>
      </c>
      <c r="E24" s="5" t="s">
        <v>85</v>
      </c>
      <c r="F24" s="12">
        <v>46079</v>
      </c>
      <c r="G24" s="5"/>
      <c r="H24" s="17" t="s">
        <v>34</v>
      </c>
      <c r="I24" s="60"/>
    </row>
    <row r="25" spans="1:10" ht="24.6" thickTop="1" thickBot="1" x14ac:dyDescent="0.35">
      <c r="A25" s="19">
        <v>46054</v>
      </c>
      <c r="B25" s="20">
        <v>10</v>
      </c>
      <c r="C25" s="34" t="s">
        <v>11</v>
      </c>
      <c r="D25" s="40">
        <v>50</v>
      </c>
      <c r="E25" s="35" t="s">
        <v>85</v>
      </c>
      <c r="F25" s="36">
        <v>46083</v>
      </c>
      <c r="G25" s="35"/>
      <c r="H25" s="37" t="s">
        <v>41</v>
      </c>
      <c r="I25" s="61"/>
      <c r="J25" s="48">
        <f>SUM(D16:D25)</f>
        <v>500</v>
      </c>
    </row>
    <row r="26" spans="1:10" ht="24" thickTop="1" x14ac:dyDescent="0.3">
      <c r="A26" s="28">
        <v>46082</v>
      </c>
      <c r="B26" s="29">
        <v>1</v>
      </c>
      <c r="C26" s="30" t="s">
        <v>5</v>
      </c>
      <c r="D26" s="38">
        <v>50</v>
      </c>
      <c r="E26" s="31" t="s">
        <v>85</v>
      </c>
      <c r="F26" s="32">
        <v>46082</v>
      </c>
      <c r="G26" s="31"/>
      <c r="H26" s="33" t="s">
        <v>113</v>
      </c>
      <c r="I26" s="59" t="s">
        <v>75</v>
      </c>
    </row>
    <row r="27" spans="1:10" ht="23.4" x14ac:dyDescent="0.3">
      <c r="A27" s="16">
        <v>46082</v>
      </c>
      <c r="B27" s="13">
        <v>2</v>
      </c>
      <c r="C27" s="3" t="s">
        <v>6</v>
      </c>
      <c r="D27" s="39">
        <v>50</v>
      </c>
      <c r="E27" s="5" t="s">
        <v>85</v>
      </c>
      <c r="F27" s="12">
        <v>46081</v>
      </c>
      <c r="G27" s="5"/>
      <c r="H27" s="17" t="s">
        <v>48</v>
      </c>
      <c r="I27" s="60"/>
    </row>
    <row r="28" spans="1:10" ht="23.4" x14ac:dyDescent="0.3">
      <c r="A28" s="16">
        <v>46082</v>
      </c>
      <c r="B28" s="13">
        <v>3</v>
      </c>
      <c r="C28" s="3" t="s">
        <v>7</v>
      </c>
      <c r="D28" s="39">
        <v>50</v>
      </c>
      <c r="E28" s="5" t="s">
        <v>85</v>
      </c>
      <c r="F28" s="12">
        <v>46086</v>
      </c>
      <c r="G28" s="5"/>
      <c r="H28" s="17" t="s">
        <v>43</v>
      </c>
      <c r="I28" s="60"/>
    </row>
    <row r="29" spans="1:10" ht="23.4" x14ac:dyDescent="0.3">
      <c r="A29" s="16">
        <v>46082</v>
      </c>
      <c r="B29" s="13">
        <v>4</v>
      </c>
      <c r="C29" s="3" t="s">
        <v>8</v>
      </c>
      <c r="D29" s="39">
        <v>50</v>
      </c>
      <c r="E29" s="5" t="s">
        <v>85</v>
      </c>
      <c r="F29" s="12">
        <v>46113</v>
      </c>
      <c r="G29" s="5"/>
      <c r="H29" s="17" t="s">
        <v>44</v>
      </c>
      <c r="I29" s="60"/>
    </row>
    <row r="30" spans="1:10" ht="23.4" x14ac:dyDescent="0.3">
      <c r="A30" s="16">
        <v>46082</v>
      </c>
      <c r="B30" s="13">
        <v>5</v>
      </c>
      <c r="C30" s="3" t="s">
        <v>9</v>
      </c>
      <c r="D30" s="39">
        <v>50</v>
      </c>
      <c r="E30" s="5" t="s">
        <v>85</v>
      </c>
      <c r="F30" s="12">
        <v>46110</v>
      </c>
      <c r="G30" s="5"/>
      <c r="H30" s="17" t="s">
        <v>45</v>
      </c>
      <c r="I30" s="60"/>
    </row>
    <row r="31" spans="1:10" ht="23.4" x14ac:dyDescent="0.3">
      <c r="A31" s="16">
        <v>46082</v>
      </c>
      <c r="B31" s="13">
        <v>6</v>
      </c>
      <c r="C31" s="3" t="s">
        <v>10</v>
      </c>
      <c r="D31" s="39">
        <v>50</v>
      </c>
      <c r="E31" s="5" t="s">
        <v>85</v>
      </c>
      <c r="F31" s="12">
        <v>46138</v>
      </c>
      <c r="G31" s="5"/>
      <c r="H31" s="17" t="s">
        <v>46</v>
      </c>
      <c r="I31" s="60"/>
    </row>
    <row r="32" spans="1:10" ht="23.4" x14ac:dyDescent="0.3">
      <c r="A32" s="16">
        <v>46082</v>
      </c>
      <c r="B32" s="13">
        <v>7</v>
      </c>
      <c r="C32" s="3" t="s">
        <v>12</v>
      </c>
      <c r="D32" s="39">
        <v>50</v>
      </c>
      <c r="E32" s="5" t="s">
        <v>85</v>
      </c>
      <c r="F32" s="12">
        <v>46082</v>
      </c>
      <c r="G32" s="5"/>
      <c r="H32" s="17" t="s">
        <v>37</v>
      </c>
      <c r="I32" s="60"/>
    </row>
    <row r="33" spans="1:10" ht="23.4" x14ac:dyDescent="0.3">
      <c r="A33" s="16">
        <v>46082</v>
      </c>
      <c r="B33" s="13">
        <v>8</v>
      </c>
      <c r="C33" s="3" t="s">
        <v>14</v>
      </c>
      <c r="D33" s="39">
        <v>50</v>
      </c>
      <c r="E33" s="5" t="s">
        <v>85</v>
      </c>
      <c r="F33" s="12">
        <v>46053</v>
      </c>
      <c r="G33" s="5"/>
      <c r="H33" s="17" t="s">
        <v>27</v>
      </c>
      <c r="I33" s="60"/>
    </row>
    <row r="34" spans="1:10" ht="24" thickBot="1" x14ac:dyDescent="0.35">
      <c r="A34" s="16">
        <v>46082</v>
      </c>
      <c r="B34" s="13">
        <v>9</v>
      </c>
      <c r="C34" s="3" t="s">
        <v>13</v>
      </c>
      <c r="D34" s="39">
        <v>50</v>
      </c>
      <c r="E34" s="5" t="s">
        <v>85</v>
      </c>
      <c r="F34" s="12">
        <v>46080</v>
      </c>
      <c r="G34" s="5"/>
      <c r="H34" s="17" t="s">
        <v>47</v>
      </c>
      <c r="I34" s="60"/>
    </row>
    <row r="35" spans="1:10" ht="24.6" thickTop="1" thickBot="1" x14ac:dyDescent="0.35">
      <c r="A35" s="19">
        <v>46082</v>
      </c>
      <c r="B35" s="20">
        <v>10</v>
      </c>
      <c r="C35" s="34" t="s">
        <v>11</v>
      </c>
      <c r="D35" s="40">
        <v>50</v>
      </c>
      <c r="E35" s="35" t="s">
        <v>85</v>
      </c>
      <c r="F35" s="36">
        <v>46107</v>
      </c>
      <c r="G35" s="35"/>
      <c r="H35" s="37" t="s">
        <v>42</v>
      </c>
      <c r="I35" s="61"/>
      <c r="J35" s="48">
        <f>SUM(D26:D35)</f>
        <v>500</v>
      </c>
    </row>
    <row r="36" spans="1:10" ht="24" thickTop="1" x14ac:dyDescent="0.3">
      <c r="A36" s="28">
        <v>46113</v>
      </c>
      <c r="B36" s="29">
        <v>1</v>
      </c>
      <c r="C36" s="30" t="s">
        <v>5</v>
      </c>
      <c r="D36" s="38">
        <v>50</v>
      </c>
      <c r="E36" s="31" t="s">
        <v>85</v>
      </c>
      <c r="F36" s="32">
        <v>46113</v>
      </c>
      <c r="G36" s="31"/>
      <c r="H36" s="33" t="s">
        <v>113</v>
      </c>
      <c r="I36" s="59" t="s">
        <v>76</v>
      </c>
    </row>
    <row r="37" spans="1:10" ht="23.4" x14ac:dyDescent="0.3">
      <c r="A37" s="16">
        <v>46113</v>
      </c>
      <c r="B37" s="13">
        <v>2</v>
      </c>
      <c r="C37" s="3" t="s">
        <v>6</v>
      </c>
      <c r="D37" s="39">
        <v>50</v>
      </c>
      <c r="E37" s="5" t="s">
        <v>85</v>
      </c>
      <c r="F37" s="12">
        <v>46140</v>
      </c>
      <c r="G37" s="5"/>
      <c r="H37" s="17" t="s">
        <v>48</v>
      </c>
      <c r="I37" s="60"/>
    </row>
    <row r="38" spans="1:10" ht="23.4" x14ac:dyDescent="0.3">
      <c r="A38" s="16">
        <v>46113</v>
      </c>
      <c r="B38" s="13">
        <v>3</v>
      </c>
      <c r="C38" s="3" t="s">
        <v>7</v>
      </c>
      <c r="D38" s="39">
        <v>50</v>
      </c>
      <c r="E38" s="5" t="s">
        <v>85</v>
      </c>
      <c r="F38" s="12">
        <v>46158</v>
      </c>
      <c r="G38" s="5"/>
      <c r="H38" s="17" t="s">
        <v>54</v>
      </c>
      <c r="I38" s="60"/>
    </row>
    <row r="39" spans="1:10" ht="23.4" x14ac:dyDescent="0.3">
      <c r="A39" s="16">
        <v>46113</v>
      </c>
      <c r="B39" s="13">
        <v>4</v>
      </c>
      <c r="C39" s="3" t="s">
        <v>8</v>
      </c>
      <c r="D39" s="39">
        <v>50</v>
      </c>
      <c r="E39" s="5" t="s">
        <v>85</v>
      </c>
      <c r="F39" s="12">
        <v>46141</v>
      </c>
      <c r="G39" s="5"/>
      <c r="H39" s="17" t="s">
        <v>49</v>
      </c>
      <c r="I39" s="60"/>
    </row>
    <row r="40" spans="1:10" ht="23.4" x14ac:dyDescent="0.3">
      <c r="A40" s="16">
        <v>46113</v>
      </c>
      <c r="B40" s="13">
        <v>5</v>
      </c>
      <c r="C40" s="3" t="s">
        <v>9</v>
      </c>
      <c r="D40" s="39">
        <v>50</v>
      </c>
      <c r="E40" s="5" t="s">
        <v>85</v>
      </c>
      <c r="F40" s="12">
        <v>46139</v>
      </c>
      <c r="G40" s="5"/>
      <c r="H40" s="17" t="s">
        <v>47</v>
      </c>
      <c r="I40" s="60"/>
    </row>
    <row r="41" spans="1:10" ht="23.4" x14ac:dyDescent="0.3">
      <c r="A41" s="16">
        <v>46113</v>
      </c>
      <c r="B41" s="13">
        <v>6</v>
      </c>
      <c r="C41" s="3" t="s">
        <v>10</v>
      </c>
      <c r="D41" s="39">
        <v>50</v>
      </c>
      <c r="E41" s="5" t="s">
        <v>85</v>
      </c>
      <c r="F41" s="12">
        <v>46138</v>
      </c>
      <c r="G41" s="5"/>
      <c r="H41" s="17" t="s">
        <v>46</v>
      </c>
      <c r="I41" s="60"/>
    </row>
    <row r="42" spans="1:10" ht="23.4" x14ac:dyDescent="0.3">
      <c r="A42" s="16">
        <v>46113</v>
      </c>
      <c r="B42" s="13">
        <v>7</v>
      </c>
      <c r="C42" s="3" t="s">
        <v>12</v>
      </c>
      <c r="D42" s="39">
        <v>50</v>
      </c>
      <c r="E42" s="5" t="s">
        <v>85</v>
      </c>
      <c r="F42" s="12">
        <v>46113</v>
      </c>
      <c r="G42" s="5"/>
      <c r="H42" s="17" t="s">
        <v>44</v>
      </c>
      <c r="I42" s="60"/>
    </row>
    <row r="43" spans="1:10" ht="23.4" x14ac:dyDescent="0.3">
      <c r="A43" s="16">
        <v>46113</v>
      </c>
      <c r="B43" s="13">
        <v>8</v>
      </c>
      <c r="C43" s="3" t="s">
        <v>14</v>
      </c>
      <c r="D43" s="39">
        <v>50</v>
      </c>
      <c r="E43" s="5" t="s">
        <v>85</v>
      </c>
      <c r="F43" s="12">
        <v>46053</v>
      </c>
      <c r="G43" s="5"/>
      <c r="H43" s="17" t="s">
        <v>27</v>
      </c>
      <c r="I43" s="60"/>
    </row>
    <row r="44" spans="1:10" ht="24" thickBot="1" x14ac:dyDescent="0.35">
      <c r="A44" s="16">
        <v>46113</v>
      </c>
      <c r="B44" s="13">
        <v>9</v>
      </c>
      <c r="C44" s="3" t="s">
        <v>13</v>
      </c>
      <c r="D44" s="39">
        <v>50</v>
      </c>
      <c r="E44" s="5" t="s">
        <v>85</v>
      </c>
      <c r="F44" s="12">
        <v>46139</v>
      </c>
      <c r="G44" s="5"/>
      <c r="H44" s="17" t="s">
        <v>47</v>
      </c>
      <c r="I44" s="60"/>
    </row>
    <row r="45" spans="1:10" ht="24.6" thickTop="1" thickBot="1" x14ac:dyDescent="0.35">
      <c r="A45" s="19">
        <v>46113</v>
      </c>
      <c r="B45" s="20">
        <v>10</v>
      </c>
      <c r="C45" s="34" t="s">
        <v>11</v>
      </c>
      <c r="D45" s="40">
        <v>50</v>
      </c>
      <c r="E45" s="35" t="s">
        <v>85</v>
      </c>
      <c r="F45" s="36">
        <v>46138</v>
      </c>
      <c r="G45" s="35"/>
      <c r="H45" s="37" t="s">
        <v>46</v>
      </c>
      <c r="I45" s="61"/>
      <c r="J45" s="48">
        <f>SUM(D36:D45)</f>
        <v>500</v>
      </c>
    </row>
    <row r="46" spans="1:10" ht="24" thickTop="1" x14ac:dyDescent="0.3">
      <c r="A46" s="28">
        <v>46143</v>
      </c>
      <c r="B46" s="29">
        <v>1</v>
      </c>
      <c r="C46" s="30" t="s">
        <v>5</v>
      </c>
      <c r="D46" s="38">
        <v>50</v>
      </c>
      <c r="E46" s="31" t="s">
        <v>85</v>
      </c>
      <c r="F46" s="32">
        <v>46143</v>
      </c>
      <c r="G46" s="31"/>
      <c r="H46" s="33" t="s">
        <v>113</v>
      </c>
      <c r="I46" s="59" t="s">
        <v>77</v>
      </c>
    </row>
    <row r="47" spans="1:10" ht="23.4" x14ac:dyDescent="0.3">
      <c r="A47" s="16">
        <v>46143</v>
      </c>
      <c r="B47" s="13">
        <v>2</v>
      </c>
      <c r="C47" s="3" t="s">
        <v>6</v>
      </c>
      <c r="D47" s="39">
        <v>50</v>
      </c>
      <c r="E47" s="5" t="s">
        <v>85</v>
      </c>
      <c r="F47" s="12">
        <v>46140</v>
      </c>
      <c r="G47" s="5"/>
      <c r="H47" s="17" t="s">
        <v>50</v>
      </c>
      <c r="I47" s="60"/>
    </row>
    <row r="48" spans="1:10" ht="23.4" x14ac:dyDescent="0.3">
      <c r="A48" s="16">
        <v>46143</v>
      </c>
      <c r="B48" s="13">
        <v>3</v>
      </c>
      <c r="C48" s="3" t="s">
        <v>7</v>
      </c>
      <c r="D48" s="39">
        <v>50</v>
      </c>
      <c r="E48" s="5" t="s">
        <v>85</v>
      </c>
      <c r="F48" s="12">
        <v>46158</v>
      </c>
      <c r="G48" s="5"/>
      <c r="H48" s="17" t="s">
        <v>54</v>
      </c>
      <c r="I48" s="60"/>
    </row>
    <row r="49" spans="1:10" ht="23.4" x14ac:dyDescent="0.3">
      <c r="A49" s="16">
        <v>46143</v>
      </c>
      <c r="B49" s="13">
        <v>4</v>
      </c>
      <c r="C49" s="3" t="s">
        <v>8</v>
      </c>
      <c r="D49" s="39">
        <v>50</v>
      </c>
      <c r="E49" s="5" t="s">
        <v>85</v>
      </c>
      <c r="F49" s="12">
        <v>46197</v>
      </c>
      <c r="G49" s="5"/>
      <c r="H49" s="17" t="s">
        <v>89</v>
      </c>
      <c r="I49" s="60"/>
    </row>
    <row r="50" spans="1:10" ht="23.4" x14ac:dyDescent="0.3">
      <c r="A50" s="16">
        <v>46143</v>
      </c>
      <c r="B50" s="13">
        <v>5</v>
      </c>
      <c r="C50" s="3" t="s">
        <v>9</v>
      </c>
      <c r="D50" s="39">
        <v>50</v>
      </c>
      <c r="E50" s="5" t="s">
        <v>85</v>
      </c>
      <c r="F50" s="12">
        <v>46174</v>
      </c>
      <c r="G50" s="5"/>
      <c r="H50" s="17" t="s">
        <v>58</v>
      </c>
      <c r="I50" s="60"/>
    </row>
    <row r="51" spans="1:10" ht="23.4" x14ac:dyDescent="0.3">
      <c r="A51" s="16">
        <v>46143</v>
      </c>
      <c r="B51" s="13">
        <v>6</v>
      </c>
      <c r="C51" s="3" t="s">
        <v>10</v>
      </c>
      <c r="D51" s="39">
        <v>50</v>
      </c>
      <c r="E51" s="5" t="s">
        <v>85</v>
      </c>
      <c r="F51" s="12">
        <v>46200</v>
      </c>
      <c r="G51" s="5"/>
      <c r="H51" s="17" t="s">
        <v>92</v>
      </c>
      <c r="I51" s="60"/>
    </row>
    <row r="52" spans="1:10" ht="23.4" x14ac:dyDescent="0.3">
      <c r="A52" s="16">
        <v>46143</v>
      </c>
      <c r="B52" s="13">
        <v>7</v>
      </c>
      <c r="C52" s="3" t="s">
        <v>12</v>
      </c>
      <c r="D52" s="39">
        <v>50</v>
      </c>
      <c r="E52" s="5" t="s">
        <v>85</v>
      </c>
      <c r="F52" s="12">
        <v>46142</v>
      </c>
      <c r="G52" s="5"/>
      <c r="H52" s="17" t="s">
        <v>51</v>
      </c>
      <c r="I52" s="60"/>
    </row>
    <row r="53" spans="1:10" ht="23.4" x14ac:dyDescent="0.3">
      <c r="A53" s="16">
        <v>46143</v>
      </c>
      <c r="B53" s="13">
        <v>8</v>
      </c>
      <c r="C53" s="3" t="s">
        <v>14</v>
      </c>
      <c r="D53" s="39">
        <v>50</v>
      </c>
      <c r="E53" s="5" t="s">
        <v>85</v>
      </c>
      <c r="F53" s="12">
        <v>46053</v>
      </c>
      <c r="G53" s="5"/>
      <c r="H53" s="17" t="s">
        <v>27</v>
      </c>
      <c r="I53" s="60"/>
    </row>
    <row r="54" spans="1:10" ht="24" thickBot="1" x14ac:dyDescent="0.35">
      <c r="A54" s="16">
        <v>46143</v>
      </c>
      <c r="B54" s="13">
        <v>9</v>
      </c>
      <c r="C54" s="3" t="s">
        <v>13</v>
      </c>
      <c r="D54" s="39">
        <v>50</v>
      </c>
      <c r="E54" s="5" t="s">
        <v>85</v>
      </c>
      <c r="F54" s="12">
        <v>46212</v>
      </c>
      <c r="G54" s="5"/>
      <c r="H54" s="17" t="s">
        <v>98</v>
      </c>
      <c r="I54" s="60"/>
    </row>
    <row r="55" spans="1:10" ht="24.6" thickTop="1" thickBot="1" x14ac:dyDescent="0.35">
      <c r="A55" s="19">
        <v>46143</v>
      </c>
      <c r="B55" s="20">
        <v>10</v>
      </c>
      <c r="C55" s="34" t="s">
        <v>11</v>
      </c>
      <c r="D55" s="40">
        <v>50</v>
      </c>
      <c r="E55" s="35" t="s">
        <v>85</v>
      </c>
      <c r="F55" s="36">
        <v>46138</v>
      </c>
      <c r="G55" s="35"/>
      <c r="H55" s="37" t="s">
        <v>46</v>
      </c>
      <c r="I55" s="61"/>
      <c r="J55" s="48">
        <f>SUM(D46:D55)</f>
        <v>500</v>
      </c>
    </row>
    <row r="56" spans="1:10" ht="24" thickTop="1" x14ac:dyDescent="0.3">
      <c r="A56" s="28">
        <v>46174</v>
      </c>
      <c r="B56" s="29">
        <v>1</v>
      </c>
      <c r="C56" s="30" t="s">
        <v>5</v>
      </c>
      <c r="D56" s="38">
        <v>50</v>
      </c>
      <c r="E56" s="31" t="s">
        <v>85</v>
      </c>
      <c r="F56" s="32">
        <v>46174</v>
      </c>
      <c r="G56" s="31"/>
      <c r="H56" s="33" t="s">
        <v>113</v>
      </c>
      <c r="I56" s="59" t="s">
        <v>78</v>
      </c>
    </row>
    <row r="57" spans="1:10" ht="23.4" x14ac:dyDescent="0.3">
      <c r="A57" s="16">
        <v>46174</v>
      </c>
      <c r="B57" s="13">
        <v>2</v>
      </c>
      <c r="C57" s="3" t="s">
        <v>6</v>
      </c>
      <c r="D57" s="39">
        <v>50</v>
      </c>
      <c r="E57" s="5" t="s">
        <v>85</v>
      </c>
      <c r="F57" s="12">
        <v>46201</v>
      </c>
      <c r="G57" s="5"/>
      <c r="H57" s="17" t="s">
        <v>96</v>
      </c>
      <c r="I57" s="60"/>
    </row>
    <row r="58" spans="1:10" ht="23.4" x14ac:dyDescent="0.3">
      <c r="A58" s="16">
        <v>46174</v>
      </c>
      <c r="B58" s="13">
        <v>3</v>
      </c>
      <c r="C58" s="3" t="s">
        <v>7</v>
      </c>
      <c r="D58" s="39">
        <v>50</v>
      </c>
      <c r="E58" s="5" t="s">
        <v>85</v>
      </c>
      <c r="F58" s="12">
        <v>46175</v>
      </c>
      <c r="G58" s="5"/>
      <c r="H58" s="17" t="s">
        <v>63</v>
      </c>
      <c r="I58" s="60"/>
    </row>
    <row r="59" spans="1:10" ht="23.4" x14ac:dyDescent="0.3">
      <c r="A59" s="16">
        <v>46174</v>
      </c>
      <c r="B59" s="13">
        <v>4</v>
      </c>
      <c r="C59" s="3" t="s">
        <v>8</v>
      </c>
      <c r="D59" s="39">
        <v>50</v>
      </c>
      <c r="E59" s="5" t="s">
        <v>85</v>
      </c>
      <c r="F59" s="12">
        <v>46231</v>
      </c>
      <c r="G59" s="5"/>
      <c r="H59" s="17" t="s">
        <v>102</v>
      </c>
      <c r="I59" s="60"/>
    </row>
    <row r="60" spans="1:10" ht="23.4" x14ac:dyDescent="0.3">
      <c r="A60" s="16">
        <v>46174</v>
      </c>
      <c r="B60" s="13">
        <v>5</v>
      </c>
      <c r="C60" s="3" t="s">
        <v>9</v>
      </c>
      <c r="D60" s="39">
        <v>50</v>
      </c>
      <c r="E60" s="5" t="s">
        <v>85</v>
      </c>
      <c r="F60" s="12">
        <v>46201</v>
      </c>
      <c r="G60" s="5"/>
      <c r="H60" s="17" t="s">
        <v>94</v>
      </c>
      <c r="I60" s="60"/>
    </row>
    <row r="61" spans="1:10" ht="23.4" x14ac:dyDescent="0.3">
      <c r="A61" s="16">
        <v>46174</v>
      </c>
      <c r="B61" s="13">
        <v>6</v>
      </c>
      <c r="C61" s="3" t="s">
        <v>10</v>
      </c>
      <c r="D61" s="39">
        <v>50</v>
      </c>
      <c r="E61" s="5" t="s">
        <v>85</v>
      </c>
      <c r="F61" s="12">
        <v>46200</v>
      </c>
      <c r="G61" s="5"/>
      <c r="H61" s="17" t="s">
        <v>92</v>
      </c>
      <c r="I61" s="60"/>
    </row>
    <row r="62" spans="1:10" ht="23.4" x14ac:dyDescent="0.3">
      <c r="A62" s="16">
        <v>46174</v>
      </c>
      <c r="B62" s="13">
        <v>7</v>
      </c>
      <c r="C62" s="3" t="s">
        <v>12</v>
      </c>
      <c r="D62" s="39">
        <v>50</v>
      </c>
      <c r="E62" s="5" t="s">
        <v>85</v>
      </c>
      <c r="F62" s="12">
        <v>46175</v>
      </c>
      <c r="G62" s="5"/>
      <c r="H62" s="17" t="s">
        <v>63</v>
      </c>
      <c r="I62" s="60"/>
    </row>
    <row r="63" spans="1:10" ht="23.4" x14ac:dyDescent="0.3">
      <c r="A63" s="16">
        <v>46174</v>
      </c>
      <c r="B63" s="13">
        <v>8</v>
      </c>
      <c r="C63" s="3" t="s">
        <v>14</v>
      </c>
      <c r="D63" s="39">
        <v>50</v>
      </c>
      <c r="E63" s="5" t="s">
        <v>85</v>
      </c>
      <c r="F63" s="12">
        <v>46299</v>
      </c>
      <c r="G63" s="5"/>
      <c r="H63" s="17" t="s">
        <v>131</v>
      </c>
      <c r="I63" s="60"/>
    </row>
    <row r="64" spans="1:10" ht="24" thickBot="1" x14ac:dyDescent="0.35">
      <c r="A64" s="16">
        <v>46174</v>
      </c>
      <c r="B64" s="13">
        <v>9</v>
      </c>
      <c r="C64" s="3" t="s">
        <v>13</v>
      </c>
      <c r="D64" s="39">
        <v>50</v>
      </c>
      <c r="E64" s="5" t="s">
        <v>85</v>
      </c>
      <c r="F64" s="12">
        <v>46212</v>
      </c>
      <c r="G64" s="5"/>
      <c r="H64" s="17" t="s">
        <v>98</v>
      </c>
      <c r="I64" s="60"/>
    </row>
    <row r="65" spans="1:10" ht="24.6" thickTop="1" thickBot="1" x14ac:dyDescent="0.35">
      <c r="A65" s="19">
        <v>46174</v>
      </c>
      <c r="B65" s="20">
        <v>10</v>
      </c>
      <c r="C65" s="34" t="s">
        <v>11</v>
      </c>
      <c r="D65" s="40">
        <v>50</v>
      </c>
      <c r="E65" s="5" t="s">
        <v>85</v>
      </c>
      <c r="F65" s="12">
        <v>46199</v>
      </c>
      <c r="G65" s="35"/>
      <c r="H65" s="49" t="s">
        <v>91</v>
      </c>
      <c r="I65" s="61"/>
      <c r="J65" s="48">
        <f>SUM(D56:D65)</f>
        <v>500</v>
      </c>
    </row>
    <row r="66" spans="1:10" ht="24" thickTop="1" x14ac:dyDescent="0.3">
      <c r="A66" s="28">
        <v>46204</v>
      </c>
      <c r="B66" s="29">
        <v>1</v>
      </c>
      <c r="C66" s="30" t="s">
        <v>5</v>
      </c>
      <c r="D66" s="38">
        <v>50</v>
      </c>
      <c r="E66" s="31" t="s">
        <v>85</v>
      </c>
      <c r="F66" s="32">
        <v>46204</v>
      </c>
      <c r="G66" s="31"/>
      <c r="H66" s="33" t="s">
        <v>113</v>
      </c>
      <c r="I66" s="59" t="s">
        <v>79</v>
      </c>
    </row>
    <row r="67" spans="1:10" ht="23.4" x14ac:dyDescent="0.3">
      <c r="A67" s="16">
        <v>46204</v>
      </c>
      <c r="B67" s="13">
        <v>2</v>
      </c>
      <c r="C67" s="3" t="s">
        <v>6</v>
      </c>
      <c r="D67" s="39">
        <v>50</v>
      </c>
      <c r="E67" s="5" t="s">
        <v>85</v>
      </c>
      <c r="F67" s="12">
        <v>46248</v>
      </c>
      <c r="G67" s="5"/>
      <c r="H67" s="17" t="s">
        <v>111</v>
      </c>
      <c r="I67" s="60"/>
    </row>
    <row r="68" spans="1:10" ht="23.4" x14ac:dyDescent="0.3">
      <c r="A68" s="16">
        <v>46204</v>
      </c>
      <c r="B68" s="13">
        <v>3</v>
      </c>
      <c r="C68" s="3" t="s">
        <v>7</v>
      </c>
      <c r="D68" s="39">
        <v>50</v>
      </c>
      <c r="E68" s="5" t="s">
        <v>85</v>
      </c>
      <c r="F68" s="12">
        <v>46236</v>
      </c>
      <c r="G68" s="5"/>
      <c r="H68" s="17" t="s">
        <v>105</v>
      </c>
      <c r="I68" s="60"/>
    </row>
    <row r="69" spans="1:10" ht="23.4" x14ac:dyDescent="0.3">
      <c r="A69" s="16">
        <v>46204</v>
      </c>
      <c r="B69" s="13">
        <v>4</v>
      </c>
      <c r="C69" s="3" t="s">
        <v>8</v>
      </c>
      <c r="D69" s="39">
        <v>50</v>
      </c>
      <c r="E69" s="5" t="s">
        <v>85</v>
      </c>
      <c r="F69" s="12">
        <v>46231</v>
      </c>
      <c r="G69" s="5"/>
      <c r="H69" s="17" t="s">
        <v>103</v>
      </c>
      <c r="I69" s="60"/>
    </row>
    <row r="70" spans="1:10" ht="23.4" x14ac:dyDescent="0.3">
      <c r="A70" s="16">
        <v>46204</v>
      </c>
      <c r="B70" s="13">
        <v>5</v>
      </c>
      <c r="C70" s="3" t="s">
        <v>9</v>
      </c>
      <c r="D70" s="39">
        <v>50</v>
      </c>
      <c r="E70" s="5" t="s">
        <v>85</v>
      </c>
      <c r="F70" s="12">
        <v>46231</v>
      </c>
      <c r="G70" s="5"/>
      <c r="H70" s="17" t="s">
        <v>102</v>
      </c>
      <c r="I70" s="60"/>
    </row>
    <row r="71" spans="1:10" ht="23.4" x14ac:dyDescent="0.3">
      <c r="A71" s="16">
        <v>46204</v>
      </c>
      <c r="B71" s="13">
        <v>6</v>
      </c>
      <c r="C71" s="3" t="s">
        <v>10</v>
      </c>
      <c r="D71" s="39">
        <v>50</v>
      </c>
      <c r="E71" s="5" t="s">
        <v>85</v>
      </c>
      <c r="F71" s="12">
        <v>46240</v>
      </c>
      <c r="G71" s="5"/>
      <c r="H71" s="17" t="s">
        <v>109</v>
      </c>
      <c r="I71" s="60"/>
    </row>
    <row r="72" spans="1:10" ht="23.4" x14ac:dyDescent="0.3">
      <c r="A72" s="16">
        <v>46204</v>
      </c>
      <c r="B72" s="13">
        <v>7</v>
      </c>
      <c r="C72" s="3" t="s">
        <v>12</v>
      </c>
      <c r="D72" s="39">
        <v>50</v>
      </c>
      <c r="E72" s="5" t="s">
        <v>85</v>
      </c>
      <c r="F72" s="12">
        <v>46204</v>
      </c>
      <c r="G72" s="5"/>
      <c r="H72" s="17" t="s">
        <v>95</v>
      </c>
      <c r="I72" s="60"/>
    </row>
    <row r="73" spans="1:10" ht="23.4" x14ac:dyDescent="0.3">
      <c r="A73" s="16">
        <v>46204</v>
      </c>
      <c r="B73" s="13">
        <v>8</v>
      </c>
      <c r="C73" s="3" t="s">
        <v>14</v>
      </c>
      <c r="D73" s="39">
        <v>50</v>
      </c>
      <c r="E73" s="5" t="s">
        <v>85</v>
      </c>
      <c r="F73" s="12">
        <v>46299</v>
      </c>
      <c r="G73" s="5"/>
      <c r="H73" s="17" t="s">
        <v>131</v>
      </c>
      <c r="I73" s="60"/>
    </row>
    <row r="74" spans="1:10" ht="24" thickBot="1" x14ac:dyDescent="0.35">
      <c r="A74" s="16">
        <v>46204</v>
      </c>
      <c r="B74" s="13">
        <v>9</v>
      </c>
      <c r="C74" s="3" t="s">
        <v>13</v>
      </c>
      <c r="D74" s="39">
        <v>50</v>
      </c>
      <c r="E74" s="5" t="s">
        <v>85</v>
      </c>
      <c r="F74" s="12">
        <v>46212</v>
      </c>
      <c r="G74" s="5"/>
      <c r="H74" s="17" t="s">
        <v>98</v>
      </c>
      <c r="I74" s="60"/>
    </row>
    <row r="75" spans="1:10" ht="24.6" thickTop="1" thickBot="1" x14ac:dyDescent="0.35">
      <c r="A75" s="19">
        <v>46204</v>
      </c>
      <c r="B75" s="20">
        <v>10</v>
      </c>
      <c r="C75" s="50" t="s">
        <v>11</v>
      </c>
      <c r="D75" s="51">
        <v>50</v>
      </c>
      <c r="E75" s="52" t="s">
        <v>85</v>
      </c>
      <c r="F75" s="53">
        <v>46212</v>
      </c>
      <c r="G75" s="52"/>
      <c r="H75" s="49" t="s">
        <v>99</v>
      </c>
      <c r="I75" s="61"/>
      <c r="J75" s="48">
        <f>SUM(D66:D75)</f>
        <v>500</v>
      </c>
    </row>
    <row r="76" spans="1:10" ht="24" thickTop="1" x14ac:dyDescent="0.3">
      <c r="A76" s="28">
        <v>46235</v>
      </c>
      <c r="B76" s="29">
        <v>1</v>
      </c>
      <c r="C76" s="30" t="s">
        <v>5</v>
      </c>
      <c r="D76" s="38">
        <v>50</v>
      </c>
      <c r="E76" s="31" t="s">
        <v>85</v>
      </c>
      <c r="F76" s="32">
        <v>46235</v>
      </c>
      <c r="G76" s="31"/>
      <c r="H76" s="33" t="s">
        <v>113</v>
      </c>
      <c r="I76" s="59" t="s">
        <v>80</v>
      </c>
    </row>
    <row r="77" spans="1:10" ht="23.4" x14ac:dyDescent="0.3">
      <c r="A77" s="16">
        <v>46235</v>
      </c>
      <c r="B77" s="13">
        <v>2</v>
      </c>
      <c r="C77" s="3" t="s">
        <v>6</v>
      </c>
      <c r="D77" s="39">
        <v>50</v>
      </c>
      <c r="E77" s="5" t="s">
        <v>85</v>
      </c>
      <c r="F77" s="12">
        <v>46248</v>
      </c>
      <c r="G77" s="5"/>
      <c r="H77" s="17" t="s">
        <v>112</v>
      </c>
      <c r="I77" s="60"/>
    </row>
    <row r="78" spans="1:10" ht="23.4" x14ac:dyDescent="0.3">
      <c r="A78" s="16">
        <v>46235</v>
      </c>
      <c r="B78" s="13">
        <v>3</v>
      </c>
      <c r="C78" s="3" t="s">
        <v>7</v>
      </c>
      <c r="D78" s="39">
        <v>50</v>
      </c>
      <c r="E78" s="5" t="s">
        <v>85</v>
      </c>
      <c r="F78" s="12">
        <v>46236</v>
      </c>
      <c r="G78" s="5"/>
      <c r="H78" s="17" t="s">
        <v>106</v>
      </c>
      <c r="I78" s="60"/>
    </row>
    <row r="79" spans="1:10" ht="23.4" x14ac:dyDescent="0.3">
      <c r="A79" s="16">
        <v>46235</v>
      </c>
      <c r="B79" s="13">
        <v>4</v>
      </c>
      <c r="C79" s="3" t="s">
        <v>8</v>
      </c>
      <c r="D79" s="39">
        <v>50</v>
      </c>
      <c r="E79" s="5" t="s">
        <v>85</v>
      </c>
      <c r="F79" s="12">
        <v>46261</v>
      </c>
      <c r="G79" s="5"/>
      <c r="H79" s="17" t="s">
        <v>115</v>
      </c>
      <c r="I79" s="60"/>
    </row>
    <row r="80" spans="1:10" ht="23.4" x14ac:dyDescent="0.3">
      <c r="A80" s="16">
        <v>46235</v>
      </c>
      <c r="B80" s="13">
        <v>5</v>
      </c>
      <c r="C80" s="3" t="s">
        <v>9</v>
      </c>
      <c r="D80" s="39">
        <v>50</v>
      </c>
      <c r="E80" s="5" t="s">
        <v>85</v>
      </c>
      <c r="F80" s="12">
        <v>46261</v>
      </c>
      <c r="G80" s="5"/>
      <c r="H80" s="17" t="s">
        <v>115</v>
      </c>
      <c r="I80" s="60"/>
    </row>
    <row r="81" spans="1:10" ht="23.4" x14ac:dyDescent="0.3">
      <c r="A81" s="16">
        <v>46235</v>
      </c>
      <c r="B81" s="13">
        <v>6</v>
      </c>
      <c r="C81" s="3" t="s">
        <v>10</v>
      </c>
      <c r="D81" s="39">
        <v>50</v>
      </c>
      <c r="E81" s="5" t="s">
        <v>85</v>
      </c>
      <c r="F81" s="12">
        <v>46240</v>
      </c>
      <c r="G81" s="5"/>
      <c r="H81" s="17" t="s">
        <v>110</v>
      </c>
      <c r="I81" s="60"/>
    </row>
    <row r="82" spans="1:10" ht="23.4" x14ac:dyDescent="0.3">
      <c r="A82" s="16">
        <v>46235</v>
      </c>
      <c r="B82" s="13">
        <v>7</v>
      </c>
      <c r="C82" s="3" t="s">
        <v>12</v>
      </c>
      <c r="D82" s="39">
        <v>50</v>
      </c>
      <c r="E82" s="5" t="s">
        <v>85</v>
      </c>
      <c r="F82" s="12">
        <v>46233</v>
      </c>
      <c r="G82" s="5"/>
      <c r="H82" s="17" t="s">
        <v>104</v>
      </c>
      <c r="I82" s="60"/>
    </row>
    <row r="83" spans="1:10" ht="23.4" x14ac:dyDescent="0.3">
      <c r="A83" s="16">
        <v>46235</v>
      </c>
      <c r="B83" s="13">
        <v>8</v>
      </c>
      <c r="C83" s="3" t="s">
        <v>14</v>
      </c>
      <c r="D83" s="39">
        <v>50</v>
      </c>
      <c r="E83" s="5" t="s">
        <v>85</v>
      </c>
      <c r="F83" s="12">
        <v>46299</v>
      </c>
      <c r="G83" s="5"/>
      <c r="H83" s="17" t="s">
        <v>131</v>
      </c>
      <c r="I83" s="60"/>
    </row>
    <row r="84" spans="1:10" ht="23.4" x14ac:dyDescent="0.3">
      <c r="A84" s="16">
        <v>46235</v>
      </c>
      <c r="B84" s="13">
        <v>9</v>
      </c>
      <c r="C84" s="3" t="s">
        <v>13</v>
      </c>
      <c r="D84" s="39">
        <v>50</v>
      </c>
      <c r="E84" s="5" t="s">
        <v>85</v>
      </c>
      <c r="F84" s="12">
        <v>46261</v>
      </c>
      <c r="G84" s="5"/>
      <c r="H84" s="17" t="s">
        <v>116</v>
      </c>
      <c r="I84" s="60"/>
    </row>
    <row r="85" spans="1:10" ht="24" thickBot="1" x14ac:dyDescent="0.35">
      <c r="A85" s="16">
        <v>46235</v>
      </c>
      <c r="B85" s="13">
        <v>10</v>
      </c>
      <c r="C85" s="3" t="s">
        <v>118</v>
      </c>
      <c r="D85" s="39">
        <v>50</v>
      </c>
      <c r="E85" s="5" t="s">
        <v>85</v>
      </c>
      <c r="F85" s="12">
        <v>46240</v>
      </c>
      <c r="G85" s="5"/>
      <c r="H85" s="17" t="s">
        <v>108</v>
      </c>
      <c r="I85" s="60"/>
    </row>
    <row r="86" spans="1:10" ht="24.6" thickTop="1" thickBot="1" x14ac:dyDescent="0.35">
      <c r="A86" s="19">
        <v>46235</v>
      </c>
      <c r="B86" s="20">
        <v>11</v>
      </c>
      <c r="C86" s="34" t="s">
        <v>11</v>
      </c>
      <c r="D86" s="40">
        <v>50</v>
      </c>
      <c r="E86" s="35" t="s">
        <v>85</v>
      </c>
      <c r="F86" s="36">
        <v>46230</v>
      </c>
      <c r="G86" s="35"/>
      <c r="H86" s="37" t="s">
        <v>101</v>
      </c>
      <c r="I86" s="61"/>
      <c r="J86" s="48">
        <f>SUM(D76:D86)</f>
        <v>550</v>
      </c>
    </row>
    <row r="87" spans="1:10" ht="24" thickTop="1" x14ac:dyDescent="0.3">
      <c r="A87" s="28">
        <v>46266</v>
      </c>
      <c r="B87" s="29">
        <v>1</v>
      </c>
      <c r="C87" s="30" t="s">
        <v>5</v>
      </c>
      <c r="D87" s="38">
        <v>50</v>
      </c>
      <c r="E87" s="31" t="s">
        <v>85</v>
      </c>
      <c r="F87" s="32">
        <v>46266</v>
      </c>
      <c r="G87" s="31"/>
      <c r="H87" s="33" t="s">
        <v>113</v>
      </c>
      <c r="I87" s="59" t="s">
        <v>81</v>
      </c>
    </row>
    <row r="88" spans="1:10" ht="23.4" x14ac:dyDescent="0.3">
      <c r="A88" s="16">
        <v>46266</v>
      </c>
      <c r="B88" s="13">
        <v>2</v>
      </c>
      <c r="C88" s="2" t="s">
        <v>6</v>
      </c>
      <c r="D88" s="15"/>
      <c r="E88" s="6" t="s">
        <v>86</v>
      </c>
      <c r="F88" s="14"/>
      <c r="G88" s="6"/>
      <c r="H88" s="18"/>
      <c r="I88" s="60"/>
    </row>
    <row r="89" spans="1:10" ht="23.4" x14ac:dyDescent="0.3">
      <c r="A89" s="16">
        <v>46266</v>
      </c>
      <c r="B89" s="13">
        <v>3</v>
      </c>
      <c r="C89" s="3" t="s">
        <v>7</v>
      </c>
      <c r="D89" s="39">
        <v>50</v>
      </c>
      <c r="E89" s="5" t="s">
        <v>85</v>
      </c>
      <c r="F89" s="12">
        <v>46261</v>
      </c>
      <c r="G89" s="5"/>
      <c r="H89" s="17" t="s">
        <v>115</v>
      </c>
      <c r="I89" s="60"/>
    </row>
    <row r="90" spans="1:10" ht="23.4" x14ac:dyDescent="0.3">
      <c r="A90" s="16">
        <v>46266</v>
      </c>
      <c r="B90" s="13">
        <v>4</v>
      </c>
      <c r="C90" s="3" t="s">
        <v>8</v>
      </c>
      <c r="D90" s="39">
        <v>50</v>
      </c>
      <c r="E90" s="5" t="s">
        <v>85</v>
      </c>
      <c r="F90" s="12">
        <v>46291</v>
      </c>
      <c r="G90" s="5"/>
      <c r="H90" s="17" t="s">
        <v>122</v>
      </c>
      <c r="I90" s="60"/>
    </row>
    <row r="91" spans="1:10" ht="23.4" x14ac:dyDescent="0.3">
      <c r="A91" s="16">
        <v>46266</v>
      </c>
      <c r="B91" s="13">
        <v>5</v>
      </c>
      <c r="C91" s="3" t="s">
        <v>9</v>
      </c>
      <c r="D91" s="39">
        <v>50</v>
      </c>
      <c r="E91" s="5" t="s">
        <v>85</v>
      </c>
      <c r="F91" s="12">
        <v>46292</v>
      </c>
      <c r="G91" s="5"/>
      <c r="H91" s="17" t="s">
        <v>123</v>
      </c>
      <c r="I91" s="60"/>
    </row>
    <row r="92" spans="1:10" ht="23.4" x14ac:dyDescent="0.3">
      <c r="A92" s="16">
        <v>46266</v>
      </c>
      <c r="B92" s="13">
        <v>6</v>
      </c>
      <c r="C92" s="3" t="s">
        <v>10</v>
      </c>
      <c r="D92" s="39">
        <v>50</v>
      </c>
      <c r="E92" s="5" t="s">
        <v>85</v>
      </c>
      <c r="F92" s="12">
        <v>46304</v>
      </c>
      <c r="G92" s="5"/>
      <c r="H92" s="17" t="s">
        <v>132</v>
      </c>
      <c r="I92" s="60"/>
    </row>
    <row r="93" spans="1:10" ht="23.4" x14ac:dyDescent="0.3">
      <c r="A93" s="16">
        <v>46266</v>
      </c>
      <c r="B93" s="13">
        <v>7</v>
      </c>
      <c r="C93" s="3" t="s">
        <v>12</v>
      </c>
      <c r="D93" s="39">
        <v>50</v>
      </c>
      <c r="E93" s="5" t="s">
        <v>85</v>
      </c>
      <c r="F93" s="12">
        <v>46296</v>
      </c>
      <c r="G93" s="5"/>
      <c r="H93" s="17" t="s">
        <v>129</v>
      </c>
      <c r="I93" s="60"/>
    </row>
    <row r="94" spans="1:10" ht="23.4" x14ac:dyDescent="0.3">
      <c r="A94" s="16">
        <v>46266</v>
      </c>
      <c r="B94" s="13">
        <v>8</v>
      </c>
      <c r="C94" s="3" t="s">
        <v>14</v>
      </c>
      <c r="D94" s="39">
        <v>50</v>
      </c>
      <c r="E94" s="5" t="s">
        <v>85</v>
      </c>
      <c r="F94" s="12">
        <v>46299</v>
      </c>
      <c r="G94" s="5"/>
      <c r="H94" s="17" t="s">
        <v>131</v>
      </c>
      <c r="I94" s="60"/>
    </row>
    <row r="95" spans="1:10" ht="23.4" x14ac:dyDescent="0.3">
      <c r="A95" s="16">
        <v>46266</v>
      </c>
      <c r="B95" s="13">
        <v>9</v>
      </c>
      <c r="C95" s="3" t="s">
        <v>13</v>
      </c>
      <c r="D95" s="39">
        <v>50</v>
      </c>
      <c r="E95" s="5" t="s">
        <v>85</v>
      </c>
      <c r="F95" s="12">
        <v>46261</v>
      </c>
      <c r="G95" s="5"/>
      <c r="H95" s="17" t="s">
        <v>117</v>
      </c>
      <c r="I95" s="60"/>
    </row>
    <row r="96" spans="1:10" ht="24" thickBot="1" x14ac:dyDescent="0.35">
      <c r="A96" s="16">
        <v>46266</v>
      </c>
      <c r="B96" s="13">
        <v>10</v>
      </c>
      <c r="C96" s="3" t="s">
        <v>118</v>
      </c>
      <c r="D96" s="39">
        <v>50</v>
      </c>
      <c r="E96" s="5" t="s">
        <v>85</v>
      </c>
      <c r="F96" s="12">
        <v>46261</v>
      </c>
      <c r="G96" s="5"/>
      <c r="H96" s="17" t="s">
        <v>115</v>
      </c>
      <c r="I96" s="60"/>
    </row>
    <row r="97" spans="1:10" ht="24.6" thickTop="1" thickBot="1" x14ac:dyDescent="0.35">
      <c r="A97" s="19">
        <v>46266</v>
      </c>
      <c r="B97" s="20">
        <v>11</v>
      </c>
      <c r="C97" s="34" t="s">
        <v>11</v>
      </c>
      <c r="D97" s="39">
        <v>50</v>
      </c>
      <c r="E97" s="5" t="s">
        <v>85</v>
      </c>
      <c r="F97" s="12">
        <v>46291</v>
      </c>
      <c r="G97" s="5"/>
      <c r="H97" s="17" t="s">
        <v>122</v>
      </c>
      <c r="I97" s="61"/>
      <c r="J97" s="48">
        <f>SUM(D87:D97)</f>
        <v>500</v>
      </c>
    </row>
    <row r="98" spans="1:10" ht="24" thickTop="1" x14ac:dyDescent="0.3">
      <c r="A98" s="28">
        <v>46296</v>
      </c>
      <c r="B98" s="29">
        <v>1</v>
      </c>
      <c r="C98" s="42" t="s">
        <v>5</v>
      </c>
      <c r="D98" s="43"/>
      <c r="E98" s="44" t="s">
        <v>86</v>
      </c>
      <c r="F98" s="45"/>
      <c r="G98" s="44"/>
      <c r="H98" s="46"/>
      <c r="I98" s="59" t="s">
        <v>82</v>
      </c>
    </row>
    <row r="99" spans="1:10" ht="23.4" x14ac:dyDescent="0.3">
      <c r="A99" s="16">
        <v>46296</v>
      </c>
      <c r="B99" s="13">
        <v>2</v>
      </c>
      <c r="C99" s="2" t="s">
        <v>6</v>
      </c>
      <c r="D99" s="15"/>
      <c r="E99" s="6" t="s">
        <v>86</v>
      </c>
      <c r="F99" s="14"/>
      <c r="G99" s="6"/>
      <c r="H99" s="18"/>
      <c r="I99" s="60"/>
    </row>
    <row r="100" spans="1:10" ht="23.4" x14ac:dyDescent="0.3">
      <c r="A100" s="16">
        <v>46296</v>
      </c>
      <c r="B100" s="13">
        <v>3</v>
      </c>
      <c r="C100" s="3" t="s">
        <v>7</v>
      </c>
      <c r="D100" s="39">
        <v>50</v>
      </c>
      <c r="E100" s="5" t="s">
        <v>85</v>
      </c>
      <c r="F100" s="12">
        <v>46300</v>
      </c>
      <c r="G100" s="5"/>
      <c r="H100" s="17" t="s">
        <v>130</v>
      </c>
      <c r="I100" s="60"/>
    </row>
    <row r="101" spans="1:10" ht="23.4" x14ac:dyDescent="0.3">
      <c r="A101" s="16">
        <v>46296</v>
      </c>
      <c r="B101" s="13">
        <v>4</v>
      </c>
      <c r="C101" s="2" t="s">
        <v>8</v>
      </c>
      <c r="D101" s="15"/>
      <c r="E101" s="6" t="s">
        <v>86</v>
      </c>
      <c r="F101" s="14"/>
      <c r="G101" s="6"/>
      <c r="H101" s="18"/>
      <c r="I101" s="60"/>
    </row>
    <row r="102" spans="1:10" ht="23.4" x14ac:dyDescent="0.3">
      <c r="A102" s="16">
        <v>46296</v>
      </c>
      <c r="B102" s="13">
        <v>5</v>
      </c>
      <c r="C102" s="2" t="s">
        <v>9</v>
      </c>
      <c r="D102" s="15"/>
      <c r="E102" s="6" t="s">
        <v>86</v>
      </c>
      <c r="F102" s="14"/>
      <c r="G102" s="6"/>
      <c r="H102" s="18"/>
      <c r="I102" s="60"/>
    </row>
    <row r="103" spans="1:10" ht="23.4" x14ac:dyDescent="0.3">
      <c r="A103" s="16">
        <v>46296</v>
      </c>
      <c r="B103" s="13">
        <v>6</v>
      </c>
      <c r="C103" s="2" t="s">
        <v>10</v>
      </c>
      <c r="D103" s="15"/>
      <c r="E103" s="6" t="s">
        <v>86</v>
      </c>
      <c r="F103" s="14"/>
      <c r="G103" s="6"/>
      <c r="H103" s="18"/>
      <c r="I103" s="60"/>
    </row>
    <row r="104" spans="1:10" ht="23.4" x14ac:dyDescent="0.3">
      <c r="A104" s="16">
        <v>46296</v>
      </c>
      <c r="B104" s="13">
        <v>7</v>
      </c>
      <c r="C104" s="2" t="s">
        <v>12</v>
      </c>
      <c r="D104" s="15"/>
      <c r="E104" s="6" t="s">
        <v>86</v>
      </c>
      <c r="F104" s="14"/>
      <c r="G104" s="6"/>
      <c r="H104" s="18"/>
      <c r="I104" s="60"/>
    </row>
    <row r="105" spans="1:10" ht="23.4" x14ac:dyDescent="0.3">
      <c r="A105" s="16">
        <v>46296</v>
      </c>
      <c r="B105" s="13">
        <v>8</v>
      </c>
      <c r="C105" s="3" t="s">
        <v>14</v>
      </c>
      <c r="D105" s="39">
        <v>50</v>
      </c>
      <c r="E105" s="5" t="s">
        <v>85</v>
      </c>
      <c r="F105" s="12">
        <v>46299</v>
      </c>
      <c r="G105" s="5"/>
      <c r="H105" s="17" t="s">
        <v>131</v>
      </c>
      <c r="I105" s="60"/>
    </row>
    <row r="106" spans="1:10" ht="23.4" x14ac:dyDescent="0.3">
      <c r="A106" s="16">
        <v>46296</v>
      </c>
      <c r="B106" s="13">
        <v>9</v>
      </c>
      <c r="C106" s="2" t="s">
        <v>13</v>
      </c>
      <c r="D106" s="15"/>
      <c r="E106" s="6" t="s">
        <v>86</v>
      </c>
      <c r="F106" s="14"/>
      <c r="G106" s="6"/>
      <c r="H106" s="18"/>
      <c r="I106" s="60"/>
    </row>
    <row r="107" spans="1:10" ht="24" thickBot="1" x14ac:dyDescent="0.35">
      <c r="A107" s="16">
        <v>46296</v>
      </c>
      <c r="B107" s="13">
        <v>10</v>
      </c>
      <c r="C107" s="3" t="s">
        <v>118</v>
      </c>
      <c r="D107" s="39">
        <v>50</v>
      </c>
      <c r="E107" s="5" t="s">
        <v>85</v>
      </c>
      <c r="F107" s="12">
        <v>46300</v>
      </c>
      <c r="G107" s="5"/>
      <c r="H107" s="17" t="s">
        <v>130</v>
      </c>
      <c r="I107" s="60"/>
    </row>
    <row r="108" spans="1:10" ht="24.6" thickTop="1" thickBot="1" x14ac:dyDescent="0.35">
      <c r="A108" s="19">
        <v>46296</v>
      </c>
      <c r="B108" s="20">
        <v>11</v>
      </c>
      <c r="C108" s="21" t="s">
        <v>11</v>
      </c>
      <c r="D108" s="41"/>
      <c r="E108" s="22" t="s">
        <v>86</v>
      </c>
      <c r="F108" s="23"/>
      <c r="G108" s="22"/>
      <c r="H108" s="24"/>
      <c r="I108" s="61"/>
      <c r="J108" s="48">
        <f>SUM(D98:D108)</f>
        <v>150</v>
      </c>
    </row>
    <row r="109" spans="1:10" ht="24" thickTop="1" x14ac:dyDescent="0.3">
      <c r="A109" s="28">
        <v>46327</v>
      </c>
      <c r="B109" s="29">
        <v>1</v>
      </c>
      <c r="C109" s="42" t="s">
        <v>5</v>
      </c>
      <c r="D109" s="43"/>
      <c r="E109" s="44" t="s">
        <v>86</v>
      </c>
      <c r="F109" s="45"/>
      <c r="G109" s="44"/>
      <c r="H109" s="46"/>
      <c r="I109" s="59" t="s">
        <v>83</v>
      </c>
    </row>
    <row r="110" spans="1:10" ht="23.4" x14ac:dyDescent="0.3">
      <c r="A110" s="16">
        <v>46327</v>
      </c>
      <c r="B110" s="13">
        <v>2</v>
      </c>
      <c r="C110" s="2" t="s">
        <v>6</v>
      </c>
      <c r="D110" s="15"/>
      <c r="E110" s="6" t="s">
        <v>86</v>
      </c>
      <c r="F110" s="14"/>
      <c r="G110" s="6"/>
      <c r="H110" s="18"/>
      <c r="I110" s="60"/>
    </row>
    <row r="111" spans="1:10" ht="23.4" x14ac:dyDescent="0.3">
      <c r="A111" s="16">
        <v>46327</v>
      </c>
      <c r="B111" s="13">
        <v>3</v>
      </c>
      <c r="C111" s="2" t="s">
        <v>7</v>
      </c>
      <c r="D111" s="15"/>
      <c r="E111" s="6" t="s">
        <v>86</v>
      </c>
      <c r="F111" s="14"/>
      <c r="G111" s="6"/>
      <c r="H111" s="18"/>
      <c r="I111" s="60"/>
    </row>
    <row r="112" spans="1:10" ht="23.4" x14ac:dyDescent="0.3">
      <c r="A112" s="16">
        <v>46327</v>
      </c>
      <c r="B112" s="13">
        <v>4</v>
      </c>
      <c r="C112" s="2" t="s">
        <v>8</v>
      </c>
      <c r="D112" s="15"/>
      <c r="E112" s="6" t="s">
        <v>86</v>
      </c>
      <c r="F112" s="14"/>
      <c r="G112" s="6"/>
      <c r="H112" s="18"/>
      <c r="I112" s="60"/>
    </row>
    <row r="113" spans="1:10" ht="23.4" x14ac:dyDescent="0.3">
      <c r="A113" s="16">
        <v>46327</v>
      </c>
      <c r="B113" s="13">
        <v>5</v>
      </c>
      <c r="C113" s="2" t="s">
        <v>9</v>
      </c>
      <c r="D113" s="15"/>
      <c r="E113" s="6" t="s">
        <v>86</v>
      </c>
      <c r="F113" s="14"/>
      <c r="G113" s="6"/>
      <c r="H113" s="18"/>
      <c r="I113" s="60"/>
    </row>
    <row r="114" spans="1:10" ht="23.4" x14ac:dyDescent="0.3">
      <c r="A114" s="16">
        <v>46327</v>
      </c>
      <c r="B114" s="13">
        <v>6</v>
      </c>
      <c r="C114" s="2" t="s">
        <v>10</v>
      </c>
      <c r="D114" s="15"/>
      <c r="E114" s="6" t="s">
        <v>86</v>
      </c>
      <c r="F114" s="14"/>
      <c r="G114" s="6"/>
      <c r="H114" s="18"/>
      <c r="I114" s="60"/>
    </row>
    <row r="115" spans="1:10" ht="23.4" x14ac:dyDescent="0.3">
      <c r="A115" s="16">
        <v>46327</v>
      </c>
      <c r="B115" s="13">
        <v>7</v>
      </c>
      <c r="C115" s="2" t="s">
        <v>12</v>
      </c>
      <c r="D115" s="15"/>
      <c r="E115" s="6" t="s">
        <v>86</v>
      </c>
      <c r="F115" s="14"/>
      <c r="G115" s="6"/>
      <c r="H115" s="18"/>
      <c r="I115" s="60"/>
    </row>
    <row r="116" spans="1:10" ht="23.4" x14ac:dyDescent="0.3">
      <c r="A116" s="16">
        <v>46327</v>
      </c>
      <c r="B116" s="13">
        <v>8</v>
      </c>
      <c r="C116" s="3" t="s">
        <v>14</v>
      </c>
      <c r="D116" s="39">
        <v>50</v>
      </c>
      <c r="E116" s="5" t="s">
        <v>85</v>
      </c>
      <c r="F116" s="12">
        <v>46299</v>
      </c>
      <c r="G116" s="5"/>
      <c r="H116" s="17" t="s">
        <v>131</v>
      </c>
      <c r="I116" s="60"/>
    </row>
    <row r="117" spans="1:10" ht="23.4" x14ac:dyDescent="0.3">
      <c r="A117" s="16">
        <v>46327</v>
      </c>
      <c r="B117" s="13">
        <v>9</v>
      </c>
      <c r="C117" s="2" t="s">
        <v>13</v>
      </c>
      <c r="D117" s="15"/>
      <c r="E117" s="6" t="s">
        <v>86</v>
      </c>
      <c r="F117" s="14"/>
      <c r="G117" s="6"/>
      <c r="H117" s="18"/>
      <c r="I117" s="60"/>
    </row>
    <row r="118" spans="1:10" ht="24" thickBot="1" x14ac:dyDescent="0.35">
      <c r="A118" s="16">
        <v>46327</v>
      </c>
      <c r="B118" s="13">
        <v>10</v>
      </c>
      <c r="C118" s="2" t="s">
        <v>118</v>
      </c>
      <c r="D118" s="15"/>
      <c r="E118" s="6" t="s">
        <v>86</v>
      </c>
      <c r="F118" s="14"/>
      <c r="G118" s="6"/>
      <c r="H118" s="18"/>
      <c r="I118" s="60"/>
    </row>
    <row r="119" spans="1:10" ht="24.6" thickTop="1" thickBot="1" x14ac:dyDescent="0.35">
      <c r="A119" s="19">
        <v>46327</v>
      </c>
      <c r="B119" s="20">
        <v>11</v>
      </c>
      <c r="C119" s="21" t="s">
        <v>11</v>
      </c>
      <c r="D119" s="41"/>
      <c r="E119" s="22" t="s">
        <v>86</v>
      </c>
      <c r="F119" s="23"/>
      <c r="G119" s="22"/>
      <c r="H119" s="24"/>
      <c r="I119" s="61"/>
      <c r="J119" s="48">
        <f>SUM(D109:D119)</f>
        <v>50</v>
      </c>
    </row>
    <row r="120" spans="1:10" ht="24" thickTop="1" x14ac:dyDescent="0.3">
      <c r="A120" s="28">
        <v>46357</v>
      </c>
      <c r="B120" s="29">
        <v>1</v>
      </c>
      <c r="C120" s="42" t="s">
        <v>5</v>
      </c>
      <c r="D120" s="43"/>
      <c r="E120" s="44" t="s">
        <v>86</v>
      </c>
      <c r="F120" s="45"/>
      <c r="G120" s="44"/>
      <c r="H120" s="46"/>
      <c r="I120" s="59" t="s">
        <v>84</v>
      </c>
    </row>
    <row r="121" spans="1:10" ht="23.4" x14ac:dyDescent="0.3">
      <c r="A121" s="16">
        <v>46357</v>
      </c>
      <c r="B121" s="13">
        <v>2</v>
      </c>
      <c r="C121" s="2" t="s">
        <v>6</v>
      </c>
      <c r="D121" s="15"/>
      <c r="E121" s="6" t="s">
        <v>86</v>
      </c>
      <c r="F121" s="14"/>
      <c r="G121" s="6"/>
      <c r="H121" s="18"/>
      <c r="I121" s="60"/>
    </row>
    <row r="122" spans="1:10" ht="23.4" x14ac:dyDescent="0.3">
      <c r="A122" s="16">
        <v>46357</v>
      </c>
      <c r="B122" s="13">
        <v>3</v>
      </c>
      <c r="C122" s="2" t="s">
        <v>7</v>
      </c>
      <c r="D122" s="15"/>
      <c r="E122" s="6" t="s">
        <v>86</v>
      </c>
      <c r="F122" s="14"/>
      <c r="G122" s="6"/>
      <c r="H122" s="18"/>
      <c r="I122" s="60"/>
    </row>
    <row r="123" spans="1:10" ht="23.4" x14ac:dyDescent="0.3">
      <c r="A123" s="16">
        <v>46357</v>
      </c>
      <c r="B123" s="13">
        <v>4</v>
      </c>
      <c r="C123" s="2" t="s">
        <v>8</v>
      </c>
      <c r="D123" s="15"/>
      <c r="E123" s="6" t="s">
        <v>86</v>
      </c>
      <c r="F123" s="14"/>
      <c r="G123" s="6"/>
      <c r="H123" s="18"/>
      <c r="I123" s="60"/>
    </row>
    <row r="124" spans="1:10" ht="23.4" x14ac:dyDescent="0.3">
      <c r="A124" s="16">
        <v>46357</v>
      </c>
      <c r="B124" s="13">
        <v>5</v>
      </c>
      <c r="C124" s="2" t="s">
        <v>9</v>
      </c>
      <c r="D124" s="15"/>
      <c r="E124" s="6" t="s">
        <v>86</v>
      </c>
      <c r="F124" s="14"/>
      <c r="G124" s="6"/>
      <c r="H124" s="18"/>
      <c r="I124" s="60"/>
    </row>
    <row r="125" spans="1:10" ht="23.4" x14ac:dyDescent="0.3">
      <c r="A125" s="16">
        <v>46357</v>
      </c>
      <c r="B125" s="13">
        <v>6</v>
      </c>
      <c r="C125" s="2" t="s">
        <v>10</v>
      </c>
      <c r="D125" s="15"/>
      <c r="E125" s="6" t="s">
        <v>86</v>
      </c>
      <c r="F125" s="14"/>
      <c r="G125" s="6"/>
      <c r="H125" s="18"/>
      <c r="I125" s="60"/>
    </row>
    <row r="126" spans="1:10" ht="23.4" x14ac:dyDescent="0.3">
      <c r="A126" s="16">
        <v>46357</v>
      </c>
      <c r="B126" s="13">
        <v>7</v>
      </c>
      <c r="C126" s="2" t="s">
        <v>12</v>
      </c>
      <c r="D126" s="15"/>
      <c r="E126" s="6" t="s">
        <v>86</v>
      </c>
      <c r="F126" s="14"/>
      <c r="G126" s="6"/>
      <c r="H126" s="18"/>
      <c r="I126" s="60"/>
    </row>
    <row r="127" spans="1:10" ht="23.4" x14ac:dyDescent="0.3">
      <c r="A127" s="16">
        <v>46357</v>
      </c>
      <c r="B127" s="13">
        <v>8</v>
      </c>
      <c r="C127" s="2" t="s">
        <v>14</v>
      </c>
      <c r="D127" s="15"/>
      <c r="E127" s="6" t="s">
        <v>86</v>
      </c>
      <c r="F127" s="14"/>
      <c r="G127" s="6"/>
      <c r="H127" s="18"/>
      <c r="I127" s="60"/>
    </row>
    <row r="128" spans="1:10" ht="23.4" x14ac:dyDescent="0.3">
      <c r="A128" s="16">
        <v>46357</v>
      </c>
      <c r="B128" s="13">
        <v>9</v>
      </c>
      <c r="C128" s="2" t="s">
        <v>13</v>
      </c>
      <c r="D128" s="15"/>
      <c r="E128" s="6" t="s">
        <v>86</v>
      </c>
      <c r="F128" s="14"/>
      <c r="G128" s="6"/>
      <c r="H128" s="18"/>
      <c r="I128" s="60"/>
    </row>
    <row r="129" spans="1:10" ht="24" thickBot="1" x14ac:dyDescent="0.35">
      <c r="A129" s="16">
        <v>46357</v>
      </c>
      <c r="B129" s="13">
        <v>10</v>
      </c>
      <c r="C129" s="2" t="s">
        <v>118</v>
      </c>
      <c r="D129" s="15"/>
      <c r="E129" s="6" t="s">
        <v>86</v>
      </c>
      <c r="F129" s="14"/>
      <c r="G129" s="6"/>
      <c r="H129" s="18"/>
      <c r="I129" s="60"/>
    </row>
    <row r="130" spans="1:10" ht="24.6" thickTop="1" thickBot="1" x14ac:dyDescent="0.35">
      <c r="A130" s="19">
        <v>46357</v>
      </c>
      <c r="B130" s="20">
        <v>11</v>
      </c>
      <c r="C130" s="21" t="s">
        <v>11</v>
      </c>
      <c r="D130" s="41"/>
      <c r="E130" s="22" t="s">
        <v>86</v>
      </c>
      <c r="F130" s="23"/>
      <c r="G130" s="22"/>
      <c r="H130" s="24"/>
      <c r="I130" s="61"/>
      <c r="J130" s="48">
        <f>SUM(D120:D130)</f>
        <v>0</v>
      </c>
    </row>
    <row r="131" spans="1:10" ht="15" thickTop="1" x14ac:dyDescent="0.3"/>
  </sheetData>
  <mergeCells count="12">
    <mergeCell ref="I120:I130"/>
    <mergeCell ref="I6:I15"/>
    <mergeCell ref="I16:I25"/>
    <mergeCell ref="I26:I35"/>
    <mergeCell ref="I36:I45"/>
    <mergeCell ref="I46:I55"/>
    <mergeCell ref="I56:I65"/>
    <mergeCell ref="I66:I75"/>
    <mergeCell ref="I76:I86"/>
    <mergeCell ref="I87:I97"/>
    <mergeCell ref="I98:I108"/>
    <mergeCell ref="I109:I119"/>
  </mergeCells>
  <pageMargins left="0" right="0" top="0" bottom="0" header="0" footer="0"/>
  <pageSetup orientation="portrait" horizontalDpi="4294967295" verticalDpi="4294967295" r:id="rId1"/>
  <ignoredErrors>
    <ignoredError sqref="J15 J25 J35 J45 J55 J65 J75 J86 J97 J108 J1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rightToLeft="1" topLeftCell="A35" zoomScaleNormal="100" zoomScaleSheetLayoutView="100" workbookViewId="0">
      <selection activeCell="B59" sqref="B59"/>
    </sheetView>
  </sheetViews>
  <sheetFormatPr defaultRowHeight="14.4" x14ac:dyDescent="0.3"/>
  <cols>
    <col min="1" max="1" width="29" bestFit="1" customWidth="1"/>
    <col min="2" max="2" width="62.33203125" bestFit="1" customWidth="1"/>
    <col min="3" max="3" width="26.109375" style="7" customWidth="1"/>
    <col min="4" max="4" width="50.88671875" bestFit="1" customWidth="1"/>
  </cols>
  <sheetData>
    <row r="1" spans="1:4" ht="51.6" x14ac:dyDescent="0.95">
      <c r="A1" s="47" t="s">
        <v>87</v>
      </c>
    </row>
    <row r="4" spans="1:4" ht="23.4" x14ac:dyDescent="0.3">
      <c r="A4" s="1" t="s">
        <v>2</v>
      </c>
      <c r="B4" s="1" t="s">
        <v>0</v>
      </c>
      <c r="C4" s="4" t="s">
        <v>1</v>
      </c>
      <c r="D4" s="1" t="s">
        <v>4</v>
      </c>
    </row>
    <row r="5" spans="1:4" ht="23.4" x14ac:dyDescent="0.3">
      <c r="A5" s="55">
        <v>46023</v>
      </c>
      <c r="B5" s="9" t="s">
        <v>88</v>
      </c>
      <c r="C5" s="10">
        <v>-235.79</v>
      </c>
      <c r="D5" s="11"/>
    </row>
    <row r="6" spans="1:4" ht="23.4" x14ac:dyDescent="0.3">
      <c r="A6" s="55"/>
      <c r="B6" s="9" t="s">
        <v>3</v>
      </c>
      <c r="C6" s="10">
        <v>-55</v>
      </c>
      <c r="D6" s="11"/>
    </row>
    <row r="7" spans="1:4" ht="23.4" x14ac:dyDescent="0.3">
      <c r="A7" s="55"/>
      <c r="B7" s="9" t="s">
        <v>15</v>
      </c>
      <c r="C7" s="10">
        <v>-20</v>
      </c>
      <c r="D7" s="11"/>
    </row>
    <row r="8" spans="1:4" ht="23.4" x14ac:dyDescent="0.3">
      <c r="A8" s="55"/>
      <c r="B8" s="9" t="s">
        <v>16</v>
      </c>
      <c r="C8" s="10">
        <v>-140</v>
      </c>
      <c r="D8" s="11"/>
    </row>
    <row r="9" spans="1:4" ht="23.4" x14ac:dyDescent="0.3">
      <c r="A9" s="12">
        <v>46023</v>
      </c>
      <c r="B9" s="3" t="s">
        <v>22</v>
      </c>
      <c r="C9" s="5">
        <v>1000</v>
      </c>
      <c r="D9" s="11"/>
    </row>
    <row r="10" spans="1:4" ht="23.4" x14ac:dyDescent="0.3">
      <c r="A10" s="55"/>
      <c r="B10" s="9" t="s">
        <v>26</v>
      </c>
      <c r="C10" s="10">
        <v>-72.63</v>
      </c>
      <c r="D10" s="11"/>
    </row>
    <row r="11" spans="1:4" ht="23.4" x14ac:dyDescent="0.3">
      <c r="A11" s="55"/>
      <c r="B11" s="9" t="s">
        <v>28</v>
      </c>
      <c r="C11" s="10">
        <v>-104.4</v>
      </c>
      <c r="D11" s="11"/>
    </row>
    <row r="12" spans="1:4" ht="23.4" x14ac:dyDescent="0.3">
      <c r="A12" s="55">
        <v>46071</v>
      </c>
      <c r="B12" s="9" t="s">
        <v>29</v>
      </c>
      <c r="C12" s="10">
        <v>-145</v>
      </c>
      <c r="D12" s="11"/>
    </row>
    <row r="13" spans="1:4" ht="23.4" x14ac:dyDescent="0.3">
      <c r="A13" s="55"/>
      <c r="B13" s="9" t="s">
        <v>30</v>
      </c>
      <c r="C13" s="10">
        <f>-8.5-25</f>
        <v>-33.5</v>
      </c>
      <c r="D13" s="11"/>
    </row>
    <row r="14" spans="1:4" ht="23.4" x14ac:dyDescent="0.3">
      <c r="A14" s="55"/>
      <c r="B14" s="9" t="s">
        <v>32</v>
      </c>
      <c r="C14" s="10">
        <v>-70</v>
      </c>
      <c r="D14" s="11"/>
    </row>
    <row r="15" spans="1:4" ht="23.4" x14ac:dyDescent="0.3">
      <c r="A15" s="55"/>
      <c r="B15" s="9" t="s">
        <v>33</v>
      </c>
      <c r="C15" s="10">
        <v>-1</v>
      </c>
      <c r="D15" s="11"/>
    </row>
    <row r="16" spans="1:4" ht="23.4" x14ac:dyDescent="0.3">
      <c r="A16" s="55"/>
      <c r="B16" s="9" t="s">
        <v>35</v>
      </c>
      <c r="C16" s="10">
        <v>-71</v>
      </c>
      <c r="D16" s="11"/>
    </row>
    <row r="17" spans="1:4" ht="23.4" x14ac:dyDescent="0.3">
      <c r="A17" s="12">
        <v>46054</v>
      </c>
      <c r="B17" s="3" t="s">
        <v>38</v>
      </c>
      <c r="C17" s="5">
        <v>500</v>
      </c>
      <c r="D17" s="11"/>
    </row>
    <row r="18" spans="1:4" ht="23.4" x14ac:dyDescent="0.3">
      <c r="A18" s="55">
        <v>46087</v>
      </c>
      <c r="B18" s="9" t="s">
        <v>39</v>
      </c>
      <c r="C18" s="10">
        <v>-32</v>
      </c>
      <c r="D18" s="11"/>
    </row>
    <row r="19" spans="1:4" ht="23.4" x14ac:dyDescent="0.3">
      <c r="A19" s="55"/>
      <c r="B19" s="9" t="s">
        <v>40</v>
      </c>
      <c r="C19" s="10">
        <v>-100</v>
      </c>
      <c r="D19" s="11"/>
    </row>
    <row r="20" spans="1:4" ht="23.4" x14ac:dyDescent="0.3">
      <c r="A20" s="55"/>
      <c r="B20" s="9" t="s">
        <v>39</v>
      </c>
      <c r="C20" s="10">
        <v>-48.9</v>
      </c>
      <c r="D20" s="11"/>
    </row>
    <row r="21" spans="1:4" ht="23.4" x14ac:dyDescent="0.3">
      <c r="A21" s="12">
        <v>46082</v>
      </c>
      <c r="B21" s="3" t="s">
        <v>59</v>
      </c>
      <c r="C21" s="5">
        <v>500</v>
      </c>
      <c r="D21" s="11"/>
    </row>
    <row r="22" spans="1:4" ht="23.4" x14ac:dyDescent="0.3">
      <c r="A22" s="55"/>
      <c r="B22" s="9" t="s">
        <v>52</v>
      </c>
      <c r="C22" s="10">
        <v>-46.02</v>
      </c>
      <c r="D22" s="11"/>
    </row>
    <row r="23" spans="1:4" ht="23.4" x14ac:dyDescent="0.3">
      <c r="A23" s="55"/>
      <c r="B23" s="9" t="s">
        <v>3</v>
      </c>
      <c r="C23" s="10">
        <v>-33</v>
      </c>
      <c r="D23" s="11"/>
    </row>
    <row r="24" spans="1:4" ht="23.4" x14ac:dyDescent="0.3">
      <c r="A24" s="12">
        <v>46113</v>
      </c>
      <c r="B24" s="3" t="s">
        <v>60</v>
      </c>
      <c r="C24" s="5">
        <v>500</v>
      </c>
      <c r="D24" s="11"/>
    </row>
    <row r="25" spans="1:4" ht="23.4" x14ac:dyDescent="0.3">
      <c r="A25" s="55"/>
      <c r="B25" s="9" t="s">
        <v>16</v>
      </c>
      <c r="C25" s="10">
        <v>-112</v>
      </c>
      <c r="D25" s="11"/>
    </row>
    <row r="26" spans="1:4" ht="23.4" x14ac:dyDescent="0.3">
      <c r="A26" s="55"/>
      <c r="B26" s="9" t="s">
        <v>29</v>
      </c>
      <c r="C26" s="10">
        <v>-152</v>
      </c>
      <c r="D26" s="11"/>
    </row>
    <row r="27" spans="1:4" ht="23.4" x14ac:dyDescent="0.3">
      <c r="A27" s="12">
        <v>46143</v>
      </c>
      <c r="B27" s="3" t="s">
        <v>61</v>
      </c>
      <c r="C27" s="5">
        <v>500</v>
      </c>
      <c r="D27" s="11"/>
    </row>
    <row r="28" spans="1:4" ht="23.4" x14ac:dyDescent="0.3">
      <c r="A28" s="55"/>
      <c r="B28" s="9" t="s">
        <v>53</v>
      </c>
      <c r="C28" s="10">
        <v>-26</v>
      </c>
      <c r="D28" s="11"/>
    </row>
    <row r="29" spans="1:4" ht="23.4" x14ac:dyDescent="0.3">
      <c r="A29" s="55"/>
      <c r="B29" s="9" t="s">
        <v>55</v>
      </c>
      <c r="C29" s="10">
        <v>-128</v>
      </c>
      <c r="D29" s="11"/>
    </row>
    <row r="30" spans="1:4" ht="23.4" x14ac:dyDescent="0.3">
      <c r="A30" s="55"/>
      <c r="B30" s="9" t="s">
        <v>56</v>
      </c>
      <c r="C30" s="10">
        <v>-62.99</v>
      </c>
      <c r="D30" s="11"/>
    </row>
    <row r="31" spans="1:4" ht="23.4" x14ac:dyDescent="0.3">
      <c r="A31" s="55"/>
      <c r="B31" s="9" t="s">
        <v>57</v>
      </c>
      <c r="C31" s="10">
        <v>-18.5</v>
      </c>
      <c r="D31" s="11"/>
    </row>
    <row r="32" spans="1:4" ht="23.4" x14ac:dyDescent="0.3">
      <c r="A32" s="12">
        <v>46174</v>
      </c>
      <c r="B32" s="3" t="s">
        <v>62</v>
      </c>
      <c r="C32" s="5">
        <v>500</v>
      </c>
      <c r="D32" s="11"/>
    </row>
    <row r="33" spans="1:4" ht="23.4" x14ac:dyDescent="0.3">
      <c r="A33" s="55">
        <v>46189</v>
      </c>
      <c r="B33" s="9" t="s">
        <v>64</v>
      </c>
      <c r="C33" s="10">
        <v>-162</v>
      </c>
      <c r="D33" s="11"/>
    </row>
    <row r="34" spans="1:4" ht="23.4" x14ac:dyDescent="0.3">
      <c r="A34" s="55">
        <v>46189</v>
      </c>
      <c r="B34" s="9" t="s">
        <v>39</v>
      </c>
      <c r="C34" s="10">
        <v>-45</v>
      </c>
      <c r="D34" s="11"/>
    </row>
    <row r="35" spans="1:4" ht="23.4" x14ac:dyDescent="0.3">
      <c r="A35" s="12">
        <v>46204</v>
      </c>
      <c r="B35" s="3" t="s">
        <v>93</v>
      </c>
      <c r="C35" s="5">
        <v>500</v>
      </c>
      <c r="D35" s="11"/>
    </row>
    <row r="36" spans="1:4" ht="23.4" x14ac:dyDescent="0.3">
      <c r="A36" s="55">
        <v>46206</v>
      </c>
      <c r="B36" s="9" t="s">
        <v>97</v>
      </c>
      <c r="C36" s="10">
        <v>-136</v>
      </c>
      <c r="D36" s="11"/>
    </row>
    <row r="37" spans="1:4" ht="23.4" x14ac:dyDescent="0.3">
      <c r="A37" s="54">
        <v>46228</v>
      </c>
      <c r="B37" s="1" t="s">
        <v>100</v>
      </c>
      <c r="C37" s="4">
        <v>-307</v>
      </c>
      <c r="D37" s="11"/>
    </row>
    <row r="38" spans="1:4" ht="23.4" x14ac:dyDescent="0.3">
      <c r="A38" s="12">
        <v>46235</v>
      </c>
      <c r="B38" s="3" t="s">
        <v>124</v>
      </c>
      <c r="C38" s="5">
        <v>550</v>
      </c>
      <c r="D38" s="11"/>
    </row>
    <row r="39" spans="1:4" ht="23.4" x14ac:dyDescent="0.3">
      <c r="A39" s="54">
        <v>46237</v>
      </c>
      <c r="B39" s="9" t="s">
        <v>107</v>
      </c>
      <c r="C39" s="10">
        <v>-148</v>
      </c>
      <c r="D39" s="11"/>
    </row>
    <row r="40" spans="1:4" ht="23.4" x14ac:dyDescent="0.3">
      <c r="A40" s="54">
        <v>46254</v>
      </c>
      <c r="B40" s="9" t="s">
        <v>114</v>
      </c>
      <c r="C40" s="10">
        <v>-186.78</v>
      </c>
      <c r="D40" s="11"/>
    </row>
    <row r="41" spans="1:4" ht="23.4" x14ac:dyDescent="0.3">
      <c r="A41" s="12">
        <v>46266</v>
      </c>
      <c r="B41" s="3" t="s">
        <v>125</v>
      </c>
      <c r="C41" s="5">
        <v>550</v>
      </c>
      <c r="D41" s="11"/>
    </row>
    <row r="42" spans="1:4" ht="23.4" x14ac:dyDescent="0.3">
      <c r="A42" s="54">
        <v>46272</v>
      </c>
      <c r="B42" s="9" t="s">
        <v>107</v>
      </c>
      <c r="C42" s="10">
        <v>-128</v>
      </c>
      <c r="D42" s="11"/>
    </row>
    <row r="43" spans="1:4" ht="23.4" x14ac:dyDescent="0.3">
      <c r="A43" s="54">
        <v>46286</v>
      </c>
      <c r="B43" s="9" t="s">
        <v>119</v>
      </c>
      <c r="C43" s="10">
        <v>-100</v>
      </c>
      <c r="D43" s="11"/>
    </row>
    <row r="44" spans="1:4" ht="23.4" x14ac:dyDescent="0.3">
      <c r="A44" s="54">
        <v>46289</v>
      </c>
      <c r="B44" s="9" t="s">
        <v>120</v>
      </c>
      <c r="C44" s="10">
        <v>-81</v>
      </c>
      <c r="D44" s="11"/>
    </row>
    <row r="45" spans="1:4" ht="23.4" x14ac:dyDescent="0.3">
      <c r="A45" s="54">
        <v>46291</v>
      </c>
      <c r="B45" s="9" t="s">
        <v>121</v>
      </c>
      <c r="C45" s="10">
        <v>-156</v>
      </c>
      <c r="D45" s="11"/>
    </row>
    <row r="46" spans="1:4" ht="23.4" x14ac:dyDescent="0.3">
      <c r="A46" s="54"/>
      <c r="B46" s="9"/>
      <c r="C46" s="10"/>
      <c r="D46" s="11"/>
    </row>
    <row r="47" spans="1:4" ht="23.4" x14ac:dyDescent="0.3">
      <c r="A47" s="54"/>
      <c r="B47" s="9"/>
      <c r="C47" s="10"/>
      <c r="D47" s="11"/>
    </row>
    <row r="48" spans="1:4" ht="23.4" x14ac:dyDescent="0.3">
      <c r="A48" s="54"/>
      <c r="B48" s="9"/>
      <c r="C48" s="10"/>
      <c r="D48" s="11"/>
    </row>
    <row r="49" spans="1:4" ht="23.4" x14ac:dyDescent="0.3">
      <c r="A49" s="12">
        <v>46296</v>
      </c>
      <c r="B49" s="3" t="s">
        <v>126</v>
      </c>
      <c r="C49" s="56"/>
      <c r="D49" s="11"/>
    </row>
    <row r="50" spans="1:4" ht="23.4" x14ac:dyDescent="0.3">
      <c r="A50" s="54"/>
      <c r="B50" s="9"/>
      <c r="C50" s="10"/>
      <c r="D50" s="11"/>
    </row>
    <row r="51" spans="1:4" ht="23.4" x14ac:dyDescent="0.3">
      <c r="A51" s="54"/>
      <c r="B51" s="9"/>
      <c r="C51" s="10"/>
      <c r="D51" s="11"/>
    </row>
    <row r="52" spans="1:4" ht="23.4" x14ac:dyDescent="0.3">
      <c r="A52" s="54"/>
      <c r="B52" s="9"/>
      <c r="C52" s="10"/>
      <c r="D52" s="11"/>
    </row>
    <row r="53" spans="1:4" ht="23.4" x14ac:dyDescent="0.3">
      <c r="A53" s="54"/>
      <c r="B53" s="9"/>
      <c r="C53" s="10"/>
      <c r="D53" s="11"/>
    </row>
    <row r="54" spans="1:4" ht="23.4" x14ac:dyDescent="0.3">
      <c r="A54" s="54"/>
      <c r="B54" s="9"/>
      <c r="C54" s="10"/>
      <c r="D54" s="11"/>
    </row>
    <row r="55" spans="1:4" ht="23.4" x14ac:dyDescent="0.3">
      <c r="A55" s="12">
        <v>46327</v>
      </c>
      <c r="B55" s="3" t="s">
        <v>127</v>
      </c>
      <c r="C55" s="56"/>
      <c r="D55" s="11"/>
    </row>
    <row r="56" spans="1:4" ht="23.4" x14ac:dyDescent="0.3">
      <c r="A56" s="54"/>
      <c r="B56" s="9"/>
      <c r="C56" s="10"/>
      <c r="D56" s="11"/>
    </row>
    <row r="57" spans="1:4" ht="23.4" x14ac:dyDescent="0.3">
      <c r="A57" s="54"/>
      <c r="B57" s="9"/>
      <c r="C57" s="10"/>
      <c r="D57" s="11"/>
    </row>
    <row r="58" spans="1:4" ht="23.4" x14ac:dyDescent="0.3">
      <c r="A58" s="54"/>
      <c r="B58" s="9"/>
      <c r="C58" s="10"/>
      <c r="D58" s="11"/>
    </row>
    <row r="59" spans="1:4" ht="23.4" x14ac:dyDescent="0.3">
      <c r="A59" s="54"/>
      <c r="B59" s="9"/>
      <c r="C59" s="10"/>
      <c r="D59" s="11"/>
    </row>
    <row r="60" spans="1:4" ht="23.4" x14ac:dyDescent="0.3">
      <c r="A60" s="54"/>
      <c r="B60" s="9"/>
      <c r="C60" s="10"/>
      <c r="D60" s="11"/>
    </row>
    <row r="61" spans="1:4" ht="23.4" x14ac:dyDescent="0.3">
      <c r="A61" s="12">
        <v>46357</v>
      </c>
      <c r="B61" s="3" t="s">
        <v>128</v>
      </c>
      <c r="C61" s="56"/>
      <c r="D61" s="11"/>
    </row>
    <row r="62" spans="1:4" ht="23.4" x14ac:dyDescent="0.3">
      <c r="A62" s="8"/>
      <c r="B62" s="9"/>
      <c r="C62" s="10"/>
      <c r="D62" s="11"/>
    </row>
    <row r="63" spans="1:4" ht="23.4" x14ac:dyDescent="0.3">
      <c r="A63" s="8"/>
      <c r="B63" s="9"/>
      <c r="C63" s="10"/>
      <c r="D63" s="11"/>
    </row>
    <row r="64" spans="1:4" ht="23.4" x14ac:dyDescent="0.3">
      <c r="A64" s="8"/>
      <c r="B64" s="9"/>
      <c r="C64" s="10"/>
      <c r="D64" s="11"/>
    </row>
    <row r="65" spans="1:4" ht="23.4" x14ac:dyDescent="0.3">
      <c r="A65" s="8"/>
      <c r="B65" s="9"/>
      <c r="C65" s="10"/>
      <c r="D65" s="11"/>
    </row>
    <row r="66" spans="1:4" ht="23.4" x14ac:dyDescent="0.3">
      <c r="A66" s="8"/>
      <c r="B66" s="9"/>
      <c r="C66" s="10"/>
      <c r="D66" s="11"/>
    </row>
    <row r="67" spans="1:4" ht="23.4" x14ac:dyDescent="0.3">
      <c r="A67" s="8"/>
      <c r="B67" s="9"/>
      <c r="C67" s="10"/>
      <c r="D67" s="11"/>
    </row>
    <row r="68" spans="1:4" ht="23.4" x14ac:dyDescent="0.3">
      <c r="A68" s="8"/>
      <c r="B68" s="9"/>
      <c r="C68" s="10"/>
      <c r="D68" s="11"/>
    </row>
    <row r="69" spans="1:4" ht="23.4" x14ac:dyDescent="0.3">
      <c r="B69" s="57" t="s">
        <v>65</v>
      </c>
      <c r="C69" s="58">
        <f>SUM(C5:C68)</f>
        <v>1942.4900000000007</v>
      </c>
    </row>
  </sheetData>
  <phoneticPr fontId="2" alignment="center"/>
  <pageMargins left="0" right="0" top="0" bottom="0" header="0" footer="0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Individual_Payments</vt:lpstr>
      <vt:lpstr>General_Expenses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dcterms:created xsi:type="dcterms:W3CDTF">2016-02-24T06:27:50Z</dcterms:created>
  <dcterms:modified xsi:type="dcterms:W3CDTF">2026-10-11T06:44:35Z</dcterms:modified>
  <cp:category/>
  <cp:contentStatus/>
</cp:coreProperties>
</file>