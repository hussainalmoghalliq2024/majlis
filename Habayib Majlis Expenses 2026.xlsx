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Money Loan 2026\Majlis\"/>
    </mc:Choice>
  </mc:AlternateContent>
  <xr:revisionPtr revIDLastSave="0" documentId="13_ncr:1_{55F8BF8D-D935-4E70-B53E-C96C8C3D645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dividual_Payments" sheetId="3" r:id="rId1"/>
    <sheet name="General_Expenses" sheetId="2" r:id="rId2"/>
  </sheets>
  <definedNames>
    <definedName name="_xlnm._FilterDatabase" localSheetId="1" hidden="1">General_Expenses!$B$4:$D$4</definedName>
    <definedName name="_xlnm._FilterDatabase" localSheetId="0" hidden="1">Individual_Payments!#REF!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3" l="1"/>
  <c r="J125" i="3"/>
  <c r="J115" i="3"/>
  <c r="J105" i="3"/>
  <c r="J95" i="3"/>
  <c r="J85" i="3"/>
  <c r="J75" i="3"/>
  <c r="J65" i="3"/>
  <c r="J55" i="3"/>
  <c r="J45" i="3"/>
  <c r="J35" i="3"/>
  <c r="J25" i="3"/>
  <c r="C13" i="2"/>
  <c r="C45" i="2"/>
</calcChain>
</file>

<file path=xl/sharedStrings.xml><?xml version="1.0" encoding="utf-8"?>
<sst xmlns="http://schemas.openxmlformats.org/spreadsheetml/2006/main" count="342" uniqueCount="91">
  <si>
    <t>وصف المصروفات</t>
  </si>
  <si>
    <t>المبلغ</t>
  </si>
  <si>
    <t>التاريخ</t>
  </si>
  <si>
    <t>شاي</t>
  </si>
  <si>
    <t>ملاحظات</t>
  </si>
  <si>
    <t>حسين المغلق - أبو هادي</t>
  </si>
  <si>
    <t>فاضل الموسوي - أبو هاشم</t>
  </si>
  <si>
    <t>حسين الشويخ - أبو مرتضى</t>
  </si>
  <si>
    <t>أحمد وهب - أبو محمد</t>
  </si>
  <si>
    <t>علي أبو حسون - أبو ريماس</t>
  </si>
  <si>
    <t>سعد العلي - أبو نايف</t>
  </si>
  <si>
    <t>حسن الصادق - أبو جود</t>
  </si>
  <si>
    <t>سيد وصفي - أبو مهدي</t>
  </si>
  <si>
    <t>أحمد العبدالله - أبو نور</t>
  </si>
  <si>
    <t>حسن المحسن - أبو محمد</t>
  </si>
  <si>
    <t>سليكون</t>
  </si>
  <si>
    <t>تعبئة غازات</t>
  </si>
  <si>
    <t>تم - حوالتين: ١ جانواري + ١٣ جانواري</t>
  </si>
  <si>
    <t>تم - حوالة ٢٧ جانواري ٢٠٢٦</t>
  </si>
  <si>
    <t>تم - حوالة ٢٨ جانواري ٢٠٢٦</t>
  </si>
  <si>
    <t>تم - حوالة ٢٧ جانواري ٢٠٢٦ + ٢٩ جانواري</t>
  </si>
  <si>
    <t>تم - حوالة ١ جانواري ٢٠٢٦ + ٢٩ جانواري</t>
  </si>
  <si>
    <t>عزبة جانواري ٢٠٢٦</t>
  </si>
  <si>
    <t>تم - حوالة ١٣ جانواري ٢٠٢٦ + ٢٨</t>
  </si>
  <si>
    <t>تم - حوالة ١ جانواري ٢٠٢٦ + ٢٩</t>
  </si>
  <si>
    <t>تم - حوالة ٢٩ جانواري ٢٠٢٦</t>
  </si>
  <si>
    <t>نت فلكس</t>
  </si>
  <si>
    <t>تم - حوالة ٣١ جانواري ٢٠٢٦</t>
  </si>
  <si>
    <t>شاي وسكر</t>
  </si>
  <si>
    <t>ماي</t>
  </si>
  <si>
    <t>سكر + مواد تنظيف</t>
  </si>
  <si>
    <t>تم - حوالة ٢٠ فبراير ٢٠٢٦</t>
  </si>
  <si>
    <t>اكياس زبالة</t>
  </si>
  <si>
    <t>ولاعة</t>
  </si>
  <si>
    <t>تم - حوالة ٢٦ فبراير ٢٠٢٦</t>
  </si>
  <si>
    <t>Netflix</t>
  </si>
  <si>
    <t>تم - حوالة ٢٨ فبراير ٢٠٢٦</t>
  </si>
  <si>
    <t>تم - حوالة ١ مارس ٢٠٢٦</t>
  </si>
  <si>
    <t>عزبة فبراير ٢٠٢٦</t>
  </si>
  <si>
    <t>كلينكس</t>
  </si>
  <si>
    <t>تصليح المكيف</t>
  </si>
  <si>
    <t>تم - حوالة ٢ مارس ٢٠٢٦</t>
  </si>
  <si>
    <t>تم - حوالة ٢٦ مارس ٢٠٢٦</t>
  </si>
  <si>
    <t>تم - حوالة ٥ مارس ٢٠٢٦</t>
  </si>
  <si>
    <t>تم - حوالة 1 أبريل ٢٠٢٦</t>
  </si>
  <si>
    <t>تم - حوالة ٢٩ مارس ٢٠٢٦</t>
  </si>
  <si>
    <t>تم - حوالة ٢٦ أبريل ٢٠٢٦</t>
  </si>
  <si>
    <t>تم - حوالة ٢٧ أبريل ٢٠٢٦</t>
  </si>
  <si>
    <t>تم - حوالة 28 أبريل ٢٠٢٦</t>
  </si>
  <si>
    <t>تم - حوالة ٢٩ أبريل ٢٠٢٦</t>
  </si>
  <si>
    <t>تم - حوالة ٢٨ أبريل ٢٠٢٦</t>
  </si>
  <si>
    <t>تم - حوالة ٣٠ أبريل ٢٠٢٦</t>
  </si>
  <si>
    <t>شاهد</t>
  </si>
  <si>
    <t>قهوة</t>
  </si>
  <si>
    <t>تم - حوالة ١٦ مايو ٢٠٢٦</t>
  </si>
  <si>
    <t>اشتراك اي بي تي في</t>
  </si>
  <si>
    <t>شاي الوزة</t>
  </si>
  <si>
    <t>سكر داندريل</t>
  </si>
  <si>
    <t>تم - حوالة 1 جون 2026</t>
  </si>
  <si>
    <t>عزبة مارس ٢٠٢٦</t>
  </si>
  <si>
    <t>عزبة أبريل ٢٠٢٦</t>
  </si>
  <si>
    <t>عزبة مايو ٢٠٢٦</t>
  </si>
  <si>
    <t>عزبة جون ٢٠٢٦</t>
  </si>
  <si>
    <t>تم - حوالة ٢ جون ٢٠٢٦</t>
  </si>
  <si>
    <t>ماي للمجلس</t>
  </si>
  <si>
    <t>مبلغ العزبة المتاح</t>
  </si>
  <si>
    <t>الشهر</t>
  </si>
  <si>
    <t>اسم المشارك</t>
  </si>
  <si>
    <t>تم الدفع؟</t>
  </si>
  <si>
    <t>تاريخ الدفع</t>
  </si>
  <si>
    <t>طريقة الدفع</t>
  </si>
  <si>
    <t>عدد المشاركين</t>
  </si>
  <si>
    <t>2/29/2026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</si>
  <si>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</si>
  <si>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</si>
  <si>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</si>
  <si>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</si>
  <si>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</si>
  <si>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</si>
  <si>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</si>
  <si>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</si>
  <si>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</si>
  <si>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</si>
  <si>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</si>
  <si>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</si>
  <si>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تم الدفع</t>
  </si>
  <si>
    <t>لم يتم الدفع</t>
  </si>
  <si>
    <t>المصروفات العامة</t>
  </si>
  <si>
    <t>المتبقي من سنة ٢٠٢٥</t>
  </si>
  <si>
    <t>تم - حوالة ٢٤ جون ٢٠٢٦</t>
  </si>
  <si>
    <t>تم - حوالة 29 جانواري ٢٠٢٦ + ٢٩ جانواري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</si>
</sst>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-yyyy"/>
    <numFmt numFmtId="165" formatCode="[$-409]mmmm\ d\,\ yyyy;@"/>
    <numFmt numFmtId="166" formatCode="[$-409]dd\-mmm\-yy;@"/>
  </numFmts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6"/>
      <name val="Yu Gothic"/>
      <family val="2"/>
      <charset val="128"/>
    </font>
    <font>
      <sz val="4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1" fillId="4" borderId="2" xfId="0" applyNumberFormat="1" applyFont="1" applyFill="1" applyBorder="1" applyAlignment="1">
      <alignment horizontal="center" vertical="center"/>
    </xf>
    <xf numFmtId="16" fontId="1" fillId="4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0" fontId="0" fillId="0" borderId="1" xfId="0" applyBorder="1"/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165" fontId="1" fillId="4" borderId="4" xfId="0" applyNumberFormat="1" applyFont="1" applyFill="1" applyBorder="1" applyAlignment="1">
      <alignment horizontal="center" vertical="center"/>
    </xf>
    <xf numFmtId="166" fontId="1" fillId="4" borderId="4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" fontId="1" fillId="3" borderId="12" xfId="0" applyNumberFormat="1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2" fontId="1" fillId="2" borderId="14" xfId="0" applyNumberFormat="1" applyFont="1" applyFill="1" applyBorder="1" applyAlignment="1">
      <alignment horizontal="center" vertical="center"/>
    </xf>
    <xf numFmtId="165" fontId="1" fillId="2" borderId="14" xfId="0" applyNumberFormat="1" applyFont="1" applyFill="1" applyBorder="1" applyAlignment="1">
      <alignment horizontal="center" vertical="center"/>
    </xf>
    <xf numFmtId="16" fontId="1" fillId="2" borderId="15" xfId="0" applyNumberFormat="1" applyFont="1" applyFill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>
      <alignment horizontal="center" vertical="center"/>
    </xf>
    <xf numFmtId="165" fontId="1" fillId="3" borderId="9" xfId="0" applyNumberFormat="1" applyFont="1" applyFill="1" applyBorder="1" applyAlignment="1">
      <alignment horizontal="center" vertical="center"/>
    </xf>
    <xf numFmtId="16" fontId="1" fillId="3" borderId="10" xfId="0" applyNumberFormat="1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2" fontId="1" fillId="3" borderId="14" xfId="0" applyNumberFormat="1" applyFont="1" applyFill="1" applyBorder="1" applyAlignment="1">
      <alignment horizontal="center" vertical="center"/>
    </xf>
    <xf numFmtId="165" fontId="1" fillId="3" borderId="14" xfId="0" applyNumberFormat="1" applyFont="1" applyFill="1" applyBorder="1" applyAlignment="1">
      <alignment horizontal="center" vertical="center"/>
    </xf>
    <xf numFmtId="16" fontId="1" fillId="3" borderId="15" xfId="0" applyNumberFormat="1" applyFont="1" applyFill="1" applyBorder="1" applyAlignment="1">
      <alignment horizontal="center" vertical="center"/>
    </xf>
    <xf numFmtId="1" fontId="1" fillId="3" borderId="9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3" borderId="14" xfId="0" applyNumberFormat="1" applyFont="1" applyFill="1" applyBorder="1" applyAlignment="1">
      <alignment horizontal="center" vertical="center"/>
    </xf>
    <xf numFmtId="1" fontId="1" fillId="2" borderId="14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" fontId="1" fillId="2" borderId="9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165" fontId="1" fillId="2" borderId="9" xfId="0" applyNumberFormat="1" applyFont="1" applyFill="1" applyBorder="1" applyAlignment="1">
      <alignment horizontal="center" vertical="center"/>
    </xf>
    <xf numFmtId="16" fontId="1" fillId="2" borderId="10" xfId="0" applyNumberFormat="1" applyFont="1" applyFill="1" applyBorder="1" applyAlignment="1">
      <alignment horizontal="center" vertical="center"/>
    </xf>
    <xf numFmtId="0" fontId="3" fillId="0" borderId="0" xfId="0" applyFont="1"/>
    <xf numFmtId="16" fontId="1" fillId="4" borderId="0" xfId="0" applyNumberFormat="1" applyFont="1" applyFill="1" applyAlignment="1">
      <alignment horizontal="center" vertical="center"/>
    </xf>
    <xf numFmtId="1" fontId="1" fillId="2" borderId="16" xfId="0" applyNumberFormat="1" applyFont="1" applyFill="1" applyBorder="1" applyAlignment="1">
      <alignment horizontal="center" vertical="center"/>
    </xf>
    <xf numFmtId="164" fontId="1" fillId="2" borderId="17" xfId="0" applyNumberFormat="1" applyFont="1" applyFill="1" applyBorder="1" applyAlignment="1">
      <alignment horizontal="center" vertical="center"/>
    </xf>
    <xf numFmtId="164" fontId="1" fillId="2" borderId="18" xfId="0" applyNumberFormat="1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30CF-4BF9-467D-B811-6F66C3721190}">
  <dimension ref="A4:J126"/>
  <sheetViews>
    <sheetView rightToLeft="1" tabSelected="1" topLeftCell="A37" zoomScale="70" zoomScaleNormal="70" zoomScaleSheetLayoutView="100" workbookViewId="0">
      <selection activeCell="H43" sqref="H43"/>
    </sheetView>
  </sheetViews>
  <sheetFormatPr defaultRowHeight="14.4" x14ac:dyDescent="0.3"/>
  <cols>
    <col min="1" max="1" width="24.6640625" bestFit="1" customWidth="1"/>
    <col min="2" max="2" width="17.44140625" bestFit="1" customWidth="1"/>
    <col min="3" max="3" width="31.5546875" bestFit="1" customWidth="1"/>
    <col min="4" max="4" width="7.77734375" style="8" bestFit="1" customWidth="1"/>
    <col min="5" max="5" width="22.21875" style="8" customWidth="1"/>
    <col min="6" max="6" width="27.6640625" style="8" bestFit="1" customWidth="1"/>
    <col min="7" max="7" width="15.21875" style="8" bestFit="1" customWidth="1"/>
    <col min="8" max="8" width="52.33203125" bestFit="1" customWidth="1"/>
    <col min="9" max="9" width="26.44140625" bestFit="1" customWidth="1"/>
    <col min="10" max="10" width="8.33203125" bestFit="1" customWidth="1"/>
  </cols>
  <sheetData>
    <row r="4" spans="1:10" ht="15" thickBot="1" x14ac:dyDescent="0.35"/>
    <row r="5" spans="1:10" ht="24.6" thickTop="1" thickBot="1" x14ac:dyDescent="0.35">
      <c r="A5" s="37" t="s">
        <v>66</v>
      </c>
      <c r="B5" s="37" t="s">
        <v>71</v>
      </c>
      <c r="C5" s="38" t="s">
        <v>67</v>
      </c>
      <c r="D5" s="37" t="s">
        <v>1</v>
      </c>
      <c r="E5" s="37" t="s">
        <v>68</v>
      </c>
      <c r="F5" s="37" t="s">
        <v>69</v>
      </c>
      <c r="G5" s="37" t="s">
        <v>70</v>
      </c>
      <c r="H5" s="39" t="s">
        <v>4</v>
      </c>
    </row>
    <row r="6" spans="1:10" ht="24" thickTop="1" x14ac:dyDescent="0.3">
      <c r="A6" s="40">
        <v>46023</v>
      </c>
      <c r="B6" s="41">
        <v>1</v>
      </c>
      <c r="C6" s="42" t="s">
        <v>5</v>
      </c>
      <c r="D6" s="50">
        <v>100</v>
      </c>
      <c r="E6" s="43" t="s">
        <v>85</v>
      </c>
      <c r="F6" s="44">
        <v>46023</v>
      </c>
      <c r="G6" s="44"/>
      <c r="H6" s="45"/>
      <c r="I6" s="62" t="s">
        <v>73</v>
      </c>
    </row>
    <row r="7" spans="1:10" ht="23.4" x14ac:dyDescent="0.3">
      <c r="A7" s="28">
        <v>46023</v>
      </c>
      <c r="B7" s="25">
        <v>2</v>
      </c>
      <c r="C7" s="3" t="s">
        <v>6</v>
      </c>
      <c r="D7" s="51">
        <v>100</v>
      </c>
      <c r="E7" s="6" t="s">
        <v>85</v>
      </c>
      <c r="F7" s="24">
        <v>46050</v>
      </c>
      <c r="G7" s="24"/>
      <c r="H7" s="29" t="s">
        <v>19</v>
      </c>
      <c r="I7" s="63"/>
    </row>
    <row r="8" spans="1:10" ht="23.4" x14ac:dyDescent="0.3">
      <c r="A8" s="28">
        <v>46023</v>
      </c>
      <c r="B8" s="25">
        <v>3</v>
      </c>
      <c r="C8" s="3" t="s">
        <v>7</v>
      </c>
      <c r="D8" s="51">
        <v>100</v>
      </c>
      <c r="E8" s="6" t="s">
        <v>85</v>
      </c>
      <c r="F8" s="24">
        <v>46023</v>
      </c>
      <c r="G8" s="24"/>
      <c r="H8" s="29" t="s">
        <v>17</v>
      </c>
      <c r="I8" s="63"/>
    </row>
    <row r="9" spans="1:10" ht="23.4" x14ac:dyDescent="0.3">
      <c r="A9" s="28">
        <v>46023</v>
      </c>
      <c r="B9" s="25">
        <v>4</v>
      </c>
      <c r="C9" s="3" t="s">
        <v>8</v>
      </c>
      <c r="D9" s="51">
        <v>100</v>
      </c>
      <c r="E9" s="6" t="s">
        <v>85</v>
      </c>
      <c r="F9" s="24">
        <v>46035</v>
      </c>
      <c r="G9" s="24"/>
      <c r="H9" s="29" t="s">
        <v>23</v>
      </c>
      <c r="I9" s="63"/>
    </row>
    <row r="10" spans="1:10" ht="23.4" x14ac:dyDescent="0.3">
      <c r="A10" s="28">
        <v>46023</v>
      </c>
      <c r="B10" s="25">
        <v>5</v>
      </c>
      <c r="C10" s="3" t="s">
        <v>9</v>
      </c>
      <c r="D10" s="51">
        <v>100</v>
      </c>
      <c r="E10" s="6" t="s">
        <v>85</v>
      </c>
      <c r="F10" s="24">
        <v>46049</v>
      </c>
      <c r="G10" s="24"/>
      <c r="H10" s="29" t="s">
        <v>20</v>
      </c>
      <c r="I10" s="63"/>
    </row>
    <row r="11" spans="1:10" ht="23.4" x14ac:dyDescent="0.3">
      <c r="A11" s="28">
        <v>46023</v>
      </c>
      <c r="B11" s="25">
        <v>6</v>
      </c>
      <c r="C11" s="3" t="s">
        <v>10</v>
      </c>
      <c r="D11" s="51">
        <v>100</v>
      </c>
      <c r="E11" s="6" t="s">
        <v>85</v>
      </c>
      <c r="F11" s="24">
        <v>46023</v>
      </c>
      <c r="G11" s="24"/>
      <c r="H11" s="29" t="s">
        <v>24</v>
      </c>
      <c r="I11" s="63"/>
    </row>
    <row r="12" spans="1:10" ht="23.4" x14ac:dyDescent="0.3">
      <c r="A12" s="28">
        <v>46023</v>
      </c>
      <c r="B12" s="25">
        <v>7</v>
      </c>
      <c r="C12" s="3" t="s">
        <v>12</v>
      </c>
      <c r="D12" s="51">
        <v>100</v>
      </c>
      <c r="E12" s="6" t="s">
        <v>85</v>
      </c>
      <c r="F12" s="24">
        <v>46023</v>
      </c>
      <c r="G12" s="24"/>
      <c r="H12" s="29" t="s">
        <v>21</v>
      </c>
      <c r="I12" s="63"/>
    </row>
    <row r="13" spans="1:10" ht="23.4" x14ac:dyDescent="0.3">
      <c r="A13" s="28">
        <v>46023</v>
      </c>
      <c r="B13" s="25">
        <v>8</v>
      </c>
      <c r="C13" s="3" t="s">
        <v>14</v>
      </c>
      <c r="D13" s="51">
        <v>100</v>
      </c>
      <c r="E13" s="6" t="s">
        <v>85</v>
      </c>
      <c r="F13" s="24">
        <v>46053</v>
      </c>
      <c r="G13" s="24"/>
      <c r="H13" s="29" t="s">
        <v>27</v>
      </c>
      <c r="I13" s="63"/>
    </row>
    <row r="14" spans="1:10" ht="24" thickBot="1" x14ac:dyDescent="0.35">
      <c r="A14" s="28">
        <v>46023</v>
      </c>
      <c r="B14" s="25">
        <v>9</v>
      </c>
      <c r="C14" s="3" t="s">
        <v>13</v>
      </c>
      <c r="D14" s="51">
        <v>100</v>
      </c>
      <c r="E14" s="6" t="s">
        <v>85</v>
      </c>
      <c r="F14" s="24">
        <v>46050</v>
      </c>
      <c r="G14" s="24"/>
      <c r="H14" s="29" t="s">
        <v>19</v>
      </c>
      <c r="I14" s="63"/>
    </row>
    <row r="15" spans="1:10" ht="24.6" thickTop="1" thickBot="1" x14ac:dyDescent="0.35">
      <c r="A15" s="31">
        <v>46023</v>
      </c>
      <c r="B15" s="32">
        <v>10</v>
      </c>
      <c r="C15" s="46" t="s">
        <v>11</v>
      </c>
      <c r="D15" s="52">
        <v>100</v>
      </c>
      <c r="E15" s="47" t="s">
        <v>85</v>
      </c>
      <c r="F15" s="48">
        <v>46049</v>
      </c>
      <c r="G15" s="48"/>
      <c r="H15" s="49" t="s">
        <v>18</v>
      </c>
      <c r="I15" s="64"/>
      <c r="J15" s="61">
        <f>SUM(D6:D15)</f>
        <v>1000</v>
      </c>
    </row>
    <row r="16" spans="1:10" ht="24" thickTop="1" x14ac:dyDescent="0.3">
      <c r="A16" s="40">
        <v>46054</v>
      </c>
      <c r="B16" s="41">
        <v>1</v>
      </c>
      <c r="C16" s="42" t="s">
        <v>5</v>
      </c>
      <c r="D16" s="50">
        <v>50</v>
      </c>
      <c r="E16" s="43" t="s">
        <v>85</v>
      </c>
      <c r="F16" s="44">
        <v>46054</v>
      </c>
      <c r="G16" s="43"/>
      <c r="H16" s="45"/>
      <c r="I16" s="62" t="s">
        <v>74</v>
      </c>
    </row>
    <row r="17" spans="1:10" ht="23.4" x14ac:dyDescent="0.3">
      <c r="A17" s="28">
        <v>46054</v>
      </c>
      <c r="B17" s="25">
        <v>2</v>
      </c>
      <c r="C17" s="3" t="s">
        <v>6</v>
      </c>
      <c r="D17" s="51">
        <v>50</v>
      </c>
      <c r="E17" s="6" t="s">
        <v>85</v>
      </c>
      <c r="F17" s="24">
        <v>46050</v>
      </c>
      <c r="G17" s="6"/>
      <c r="H17" s="29" t="s">
        <v>19</v>
      </c>
      <c r="I17" s="63"/>
    </row>
    <row r="18" spans="1:10" ht="23.4" x14ac:dyDescent="0.3">
      <c r="A18" s="28">
        <v>46054</v>
      </c>
      <c r="B18" s="25">
        <v>3</v>
      </c>
      <c r="C18" s="3" t="s">
        <v>7</v>
      </c>
      <c r="D18" s="51">
        <v>50</v>
      </c>
      <c r="E18" s="6" t="s">
        <v>85</v>
      </c>
      <c r="F18" s="24">
        <v>46073</v>
      </c>
      <c r="G18" s="6"/>
      <c r="H18" s="29" t="s">
        <v>31</v>
      </c>
      <c r="I18" s="63"/>
    </row>
    <row r="19" spans="1:10" ht="23.4" x14ac:dyDescent="0.3">
      <c r="A19" s="28">
        <v>46054</v>
      </c>
      <c r="B19" s="25">
        <v>4</v>
      </c>
      <c r="C19" s="3" t="s">
        <v>8</v>
      </c>
      <c r="D19" s="51">
        <v>50</v>
      </c>
      <c r="E19" s="6" t="s">
        <v>85</v>
      </c>
      <c r="F19" s="24">
        <v>46081</v>
      </c>
      <c r="G19" s="6"/>
      <c r="H19" s="29" t="s">
        <v>36</v>
      </c>
      <c r="I19" s="63"/>
    </row>
    <row r="20" spans="1:10" ht="23.4" x14ac:dyDescent="0.3">
      <c r="A20" s="28">
        <v>46054</v>
      </c>
      <c r="B20" s="25">
        <v>5</v>
      </c>
      <c r="C20" s="3" t="s">
        <v>9</v>
      </c>
      <c r="D20" s="51">
        <v>50</v>
      </c>
      <c r="E20" s="6" t="s">
        <v>85</v>
      </c>
      <c r="F20" s="24">
        <v>46079</v>
      </c>
      <c r="G20" s="6"/>
      <c r="H20" s="29" t="s">
        <v>34</v>
      </c>
      <c r="I20" s="63"/>
    </row>
    <row r="21" spans="1:10" ht="23.4" x14ac:dyDescent="0.3">
      <c r="A21" s="28">
        <v>46054</v>
      </c>
      <c r="B21" s="25">
        <v>6</v>
      </c>
      <c r="C21" s="3" t="s">
        <v>10</v>
      </c>
      <c r="D21" s="51">
        <v>50</v>
      </c>
      <c r="E21" s="6" t="s">
        <v>85</v>
      </c>
      <c r="F21" s="24" t="s">
        <v>72</v>
      </c>
      <c r="G21" s="6"/>
      <c r="H21" s="29" t="s">
        <v>25</v>
      </c>
      <c r="I21" s="63"/>
    </row>
    <row r="22" spans="1:10" ht="23.4" x14ac:dyDescent="0.3">
      <c r="A22" s="28">
        <v>46054</v>
      </c>
      <c r="B22" s="25">
        <v>7</v>
      </c>
      <c r="C22" s="3" t="s">
        <v>12</v>
      </c>
      <c r="D22" s="51">
        <v>50</v>
      </c>
      <c r="E22" s="6" t="s">
        <v>85</v>
      </c>
      <c r="F22" s="24">
        <v>46051</v>
      </c>
      <c r="G22" s="6"/>
      <c r="H22" s="29" t="s">
        <v>90</v>
      </c>
      <c r="I22" s="63"/>
    </row>
    <row r="23" spans="1:10" ht="23.4" x14ac:dyDescent="0.3">
      <c r="A23" s="28">
        <v>46054</v>
      </c>
      <c r="B23" s="25">
        <v>8</v>
      </c>
      <c r="C23" s="3" t="s">
        <v>14</v>
      </c>
      <c r="D23" s="51">
        <v>50</v>
      </c>
      <c r="E23" s="6" t="s">
        <v>85</v>
      </c>
      <c r="F23" s="24">
        <v>46053</v>
      </c>
      <c r="G23" s="6"/>
      <c r="H23" s="29" t="s">
        <v>27</v>
      </c>
      <c r="I23" s="63"/>
    </row>
    <row r="24" spans="1:10" ht="24" thickBot="1" x14ac:dyDescent="0.35">
      <c r="A24" s="28">
        <v>46054</v>
      </c>
      <c r="B24" s="25">
        <v>9</v>
      </c>
      <c r="C24" s="3" t="s">
        <v>13</v>
      </c>
      <c r="D24" s="51">
        <v>50</v>
      </c>
      <c r="E24" s="6" t="s">
        <v>85</v>
      </c>
      <c r="F24" s="24">
        <v>46079</v>
      </c>
      <c r="G24" s="6"/>
      <c r="H24" s="29" t="s">
        <v>34</v>
      </c>
      <c r="I24" s="63"/>
    </row>
    <row r="25" spans="1:10" ht="24.6" thickTop="1" thickBot="1" x14ac:dyDescent="0.35">
      <c r="A25" s="31">
        <v>46054</v>
      </c>
      <c r="B25" s="32">
        <v>10</v>
      </c>
      <c r="C25" s="46" t="s">
        <v>11</v>
      </c>
      <c r="D25" s="52">
        <v>50</v>
      </c>
      <c r="E25" s="47" t="s">
        <v>85</v>
      </c>
      <c r="F25" s="48">
        <v>46083</v>
      </c>
      <c r="G25" s="47"/>
      <c r="H25" s="49" t="s">
        <v>41</v>
      </c>
      <c r="I25" s="64"/>
      <c r="J25" s="61">
        <f>SUM(D16:D25)</f>
        <v>500</v>
      </c>
    </row>
    <row r="26" spans="1:10" ht="24" thickTop="1" x14ac:dyDescent="0.3">
      <c r="A26" s="40">
        <v>46082</v>
      </c>
      <c r="B26" s="41">
        <v>1</v>
      </c>
      <c r="C26" s="42" t="s">
        <v>5</v>
      </c>
      <c r="D26" s="50">
        <v>50</v>
      </c>
      <c r="E26" s="43" t="s">
        <v>85</v>
      </c>
      <c r="F26" s="44">
        <v>46082</v>
      </c>
      <c r="G26" s="43"/>
      <c r="H26" s="45"/>
      <c r="I26" s="62" t="s">
        <v>75</v>
      </c>
    </row>
    <row r="27" spans="1:10" ht="23.4" x14ac:dyDescent="0.3">
      <c r="A27" s="28">
        <v>46082</v>
      </c>
      <c r="B27" s="25">
        <v>2</v>
      </c>
      <c r="C27" s="3" t="s">
        <v>6</v>
      </c>
      <c r="D27" s="51">
        <v>50</v>
      </c>
      <c r="E27" s="6" t="s">
        <v>85</v>
      </c>
      <c r="F27" s="24">
        <v>46081</v>
      </c>
      <c r="G27" s="6"/>
      <c r="H27" s="29" t="s">
        <v>48</v>
      </c>
      <c r="I27" s="63"/>
    </row>
    <row r="28" spans="1:10" ht="23.4" x14ac:dyDescent="0.3">
      <c r="A28" s="28">
        <v>46082</v>
      </c>
      <c r="B28" s="25">
        <v>3</v>
      </c>
      <c r="C28" s="3" t="s">
        <v>7</v>
      </c>
      <c r="D28" s="51">
        <v>50</v>
      </c>
      <c r="E28" s="6" t="s">
        <v>85</v>
      </c>
      <c r="F28" s="24">
        <v>46086</v>
      </c>
      <c r="G28" s="6"/>
      <c r="H28" s="29" t="s">
        <v>43</v>
      </c>
      <c r="I28" s="63"/>
    </row>
    <row r="29" spans="1:10" ht="23.4" x14ac:dyDescent="0.3">
      <c r="A29" s="28">
        <v>46082</v>
      </c>
      <c r="B29" s="25">
        <v>4</v>
      </c>
      <c r="C29" s="3" t="s">
        <v>8</v>
      </c>
      <c r="D29" s="51">
        <v>50</v>
      </c>
      <c r="E29" s="6" t="s">
        <v>85</v>
      </c>
      <c r="F29" s="24">
        <v>46113</v>
      </c>
      <c r="G29" s="6"/>
      <c r="H29" s="29" t="s">
        <v>44</v>
      </c>
      <c r="I29" s="63"/>
    </row>
    <row r="30" spans="1:10" ht="23.4" x14ac:dyDescent="0.3">
      <c r="A30" s="28">
        <v>46082</v>
      </c>
      <c r="B30" s="25">
        <v>5</v>
      </c>
      <c r="C30" s="3" t="s">
        <v>9</v>
      </c>
      <c r="D30" s="51">
        <v>50</v>
      </c>
      <c r="E30" s="6" t="s">
        <v>85</v>
      </c>
      <c r="F30" s="24">
        <v>46110</v>
      </c>
      <c r="G30" s="6"/>
      <c r="H30" s="29" t="s">
        <v>45</v>
      </c>
      <c r="I30" s="63"/>
    </row>
    <row r="31" spans="1:10" ht="23.4" x14ac:dyDescent="0.3">
      <c r="A31" s="28">
        <v>46082</v>
      </c>
      <c r="B31" s="25">
        <v>6</v>
      </c>
      <c r="C31" s="3" t="s">
        <v>10</v>
      </c>
      <c r="D31" s="51">
        <v>50</v>
      </c>
      <c r="E31" s="6" t="s">
        <v>85</v>
      </c>
      <c r="F31" s="24">
        <v>46138</v>
      </c>
      <c r="G31" s="6"/>
      <c r="H31" s="29" t="s">
        <v>46</v>
      </c>
      <c r="I31" s="63"/>
    </row>
    <row r="32" spans="1:10" ht="23.4" x14ac:dyDescent="0.3">
      <c r="A32" s="28">
        <v>46082</v>
      </c>
      <c r="B32" s="25">
        <v>7</v>
      </c>
      <c r="C32" s="3" t="s">
        <v>12</v>
      </c>
      <c r="D32" s="51">
        <v>50</v>
      </c>
      <c r="E32" s="6" t="s">
        <v>85</v>
      </c>
      <c r="F32" s="24">
        <v>46082</v>
      </c>
      <c r="G32" s="6"/>
      <c r="H32" s="29" t="s">
        <v>37</v>
      </c>
      <c r="I32" s="63"/>
    </row>
    <row r="33" spans="1:10" ht="23.4" x14ac:dyDescent="0.3">
      <c r="A33" s="28">
        <v>46082</v>
      </c>
      <c r="B33" s="25">
        <v>8</v>
      </c>
      <c r="C33" s="3" t="s">
        <v>14</v>
      </c>
      <c r="D33" s="51">
        <v>50</v>
      </c>
      <c r="E33" s="6" t="s">
        <v>85</v>
      </c>
      <c r="F33" s="24">
        <v>46053</v>
      </c>
      <c r="G33" s="6"/>
      <c r="H33" s="29" t="s">
        <v>27</v>
      </c>
      <c r="I33" s="63"/>
    </row>
    <row r="34" spans="1:10" ht="24" thickBot="1" x14ac:dyDescent="0.35">
      <c r="A34" s="28">
        <v>46082</v>
      </c>
      <c r="B34" s="25">
        <v>9</v>
      </c>
      <c r="C34" s="3" t="s">
        <v>13</v>
      </c>
      <c r="D34" s="51">
        <v>50</v>
      </c>
      <c r="E34" s="6" t="s">
        <v>85</v>
      </c>
      <c r="F34" s="24">
        <v>46080</v>
      </c>
      <c r="G34" s="6"/>
      <c r="H34" s="29" t="s">
        <v>47</v>
      </c>
      <c r="I34" s="63"/>
    </row>
    <row r="35" spans="1:10" ht="24.6" thickTop="1" thickBot="1" x14ac:dyDescent="0.35">
      <c r="A35" s="31">
        <v>46082</v>
      </c>
      <c r="B35" s="32">
        <v>10</v>
      </c>
      <c r="C35" s="46" t="s">
        <v>11</v>
      </c>
      <c r="D35" s="52">
        <v>50</v>
      </c>
      <c r="E35" s="47" t="s">
        <v>85</v>
      </c>
      <c r="F35" s="48">
        <v>46107</v>
      </c>
      <c r="G35" s="47"/>
      <c r="H35" s="49" t="s">
        <v>42</v>
      </c>
      <c r="I35" s="64"/>
      <c r="J35" s="61">
        <f>SUM(D26:D35)</f>
        <v>500</v>
      </c>
    </row>
    <row r="36" spans="1:10" ht="24" thickTop="1" x14ac:dyDescent="0.3">
      <c r="A36" s="40">
        <v>46113</v>
      </c>
      <c r="B36" s="41">
        <v>1</v>
      </c>
      <c r="C36" s="42" t="s">
        <v>5</v>
      </c>
      <c r="D36" s="50">
        <v>50</v>
      </c>
      <c r="E36" s="43" t="s">
        <v>85</v>
      </c>
      <c r="F36" s="44">
        <v>46113</v>
      </c>
      <c r="G36" s="43"/>
      <c r="H36" s="45"/>
      <c r="I36" s="62" t="s">
        <v>76</v>
      </c>
    </row>
    <row r="37" spans="1:10" ht="23.4" x14ac:dyDescent="0.3">
      <c r="A37" s="28">
        <v>46113</v>
      </c>
      <c r="B37" s="25">
        <v>2</v>
      </c>
      <c r="C37" s="3" t="s">
        <v>6</v>
      </c>
      <c r="D37" s="51">
        <v>50</v>
      </c>
      <c r="E37" s="6" t="s">
        <v>85</v>
      </c>
      <c r="F37" s="24">
        <v>46140</v>
      </c>
      <c r="G37" s="6"/>
      <c r="H37" s="29" t="s">
        <v>48</v>
      </c>
      <c r="I37" s="63"/>
    </row>
    <row r="38" spans="1:10" ht="23.4" x14ac:dyDescent="0.3">
      <c r="A38" s="28">
        <v>46113</v>
      </c>
      <c r="B38" s="25">
        <v>3</v>
      </c>
      <c r="C38" s="3" t="s">
        <v>7</v>
      </c>
      <c r="D38" s="51">
        <v>50</v>
      </c>
      <c r="E38" s="6" t="s">
        <v>85</v>
      </c>
      <c r="F38" s="24">
        <v>46158</v>
      </c>
      <c r="G38" s="6"/>
      <c r="H38" s="29" t="s">
        <v>54</v>
      </c>
      <c r="I38" s="63"/>
    </row>
    <row r="39" spans="1:10" ht="23.4" x14ac:dyDescent="0.3">
      <c r="A39" s="28">
        <v>46113</v>
      </c>
      <c r="B39" s="25">
        <v>4</v>
      </c>
      <c r="C39" s="3" t="s">
        <v>8</v>
      </c>
      <c r="D39" s="51">
        <v>50</v>
      </c>
      <c r="E39" s="6" t="s">
        <v>85</v>
      </c>
      <c r="F39" s="24">
        <v>46141</v>
      </c>
      <c r="G39" s="6"/>
      <c r="H39" s="29" t="s">
        <v>49</v>
      </c>
      <c r="I39" s="63"/>
    </row>
    <row r="40" spans="1:10" ht="23.4" x14ac:dyDescent="0.3">
      <c r="A40" s="28">
        <v>46113</v>
      </c>
      <c r="B40" s="25">
        <v>5</v>
      </c>
      <c r="C40" s="3" t="s">
        <v>9</v>
      </c>
      <c r="D40" s="51">
        <v>50</v>
      </c>
      <c r="E40" s="6" t="s">
        <v>85</v>
      </c>
      <c r="F40" s="24">
        <v>46139</v>
      </c>
      <c r="G40" s="6"/>
      <c r="H40" s="29" t="s">
        <v>47</v>
      </c>
      <c r="I40" s="63"/>
    </row>
    <row r="41" spans="1:10" ht="23.4" x14ac:dyDescent="0.3">
      <c r="A41" s="28">
        <v>46113</v>
      </c>
      <c r="B41" s="25">
        <v>6</v>
      </c>
      <c r="C41" s="3" t="s">
        <v>10</v>
      </c>
      <c r="D41" s="51">
        <v>50</v>
      </c>
      <c r="E41" s="6" t="s">
        <v>85</v>
      </c>
      <c r="F41" s="24">
        <v>46138</v>
      </c>
      <c r="G41" s="6"/>
      <c r="H41" s="29" t="s">
        <v>46</v>
      </c>
      <c r="I41" s="63"/>
    </row>
    <row r="42" spans="1:10" ht="23.4" x14ac:dyDescent="0.3">
      <c r="A42" s="28">
        <v>46113</v>
      </c>
      <c r="B42" s="25">
        <v>7</v>
      </c>
      <c r="C42" s="3" t="s">
        <v>12</v>
      </c>
      <c r="D42" s="51">
        <v>50</v>
      </c>
      <c r="E42" s="6" t="s">
        <v>85</v>
      </c>
      <c r="F42" s="24">
        <v>46113</v>
      </c>
      <c r="G42" s="6"/>
      <c r="H42" s="29" t="s">
        <v>44</v>
      </c>
      <c r="I42" s="63"/>
    </row>
    <row r="43" spans="1:10" ht="23.4" x14ac:dyDescent="0.3">
      <c r="A43" s="28">
        <v>46113</v>
      </c>
      <c r="B43" s="25">
        <v>8</v>
      </c>
      <c r="C43" s="3" t="s">
        <v>14</v>
      </c>
      <c r="D43" s="51">
        <v>50</v>
      </c>
      <c r="E43" s="6" t="s">
        <v>85</v>
      </c>
      <c r="F43" s="24">
        <v>46053</v>
      </c>
      <c r="G43" s="6"/>
      <c r="H43" s="29" t="s">
        <v>27</v>
      </c>
      <c r="I43" s="63"/>
    </row>
    <row r="44" spans="1:10" ht="24" thickBot="1" x14ac:dyDescent="0.35">
      <c r="A44" s="28">
        <v>46113</v>
      </c>
      <c r="B44" s="25">
        <v>9</v>
      </c>
      <c r="C44" s="3" t="s">
        <v>13</v>
      </c>
      <c r="D44" s="51">
        <v>50</v>
      </c>
      <c r="E44" s="6" t="s">
        <v>85</v>
      </c>
      <c r="F44" s="24">
        <v>46139</v>
      </c>
      <c r="G44" s="6"/>
      <c r="H44" s="29" t="s">
        <v>47</v>
      </c>
      <c r="I44" s="63"/>
    </row>
    <row r="45" spans="1:10" ht="24.6" thickTop="1" thickBot="1" x14ac:dyDescent="0.35">
      <c r="A45" s="31">
        <v>46113</v>
      </c>
      <c r="B45" s="32">
        <v>10</v>
      </c>
      <c r="C45" s="46" t="s">
        <v>11</v>
      </c>
      <c r="D45" s="52">
        <v>50</v>
      </c>
      <c r="E45" s="47" t="s">
        <v>85</v>
      </c>
      <c r="F45" s="48">
        <v>46138</v>
      </c>
      <c r="G45" s="47"/>
      <c r="H45" s="49" t="s">
        <v>46</v>
      </c>
      <c r="I45" s="64"/>
      <c r="J45" s="61">
        <f>SUM(D36:D45)</f>
        <v>500</v>
      </c>
    </row>
    <row r="46" spans="1:10" ht="24" thickTop="1" x14ac:dyDescent="0.3">
      <c r="A46" s="40">
        <v>46143</v>
      </c>
      <c r="B46" s="41">
        <v>1</v>
      </c>
      <c r="C46" s="42" t="s">
        <v>5</v>
      </c>
      <c r="D46" s="50">
        <v>50</v>
      </c>
      <c r="E46" s="43" t="s">
        <v>85</v>
      </c>
      <c r="F46" s="44">
        <v>46143</v>
      </c>
      <c r="G46" s="43"/>
      <c r="H46" s="45"/>
      <c r="I46" s="62" t="s">
        <v>77</v>
      </c>
    </row>
    <row r="47" spans="1:10" ht="23.4" x14ac:dyDescent="0.3">
      <c r="A47" s="28">
        <v>46143</v>
      </c>
      <c r="B47" s="25">
        <v>2</v>
      </c>
      <c r="C47" s="3" t="s">
        <v>6</v>
      </c>
      <c r="D47" s="51">
        <v>50</v>
      </c>
      <c r="E47" s="6" t="s">
        <v>85</v>
      </c>
      <c r="F47" s="24">
        <v>46140</v>
      </c>
      <c r="G47" s="6"/>
      <c r="H47" s="29" t="s">
        <v>50</v>
      </c>
      <c r="I47" s="63"/>
    </row>
    <row r="48" spans="1:10" ht="23.4" x14ac:dyDescent="0.3">
      <c r="A48" s="28">
        <v>46143</v>
      </c>
      <c r="B48" s="25">
        <v>3</v>
      </c>
      <c r="C48" s="3" t="s">
        <v>7</v>
      </c>
      <c r="D48" s="51">
        <v>50</v>
      </c>
      <c r="E48" s="6" t="s">
        <v>85</v>
      </c>
      <c r="F48" s="24">
        <v>46158</v>
      </c>
      <c r="G48" s="6"/>
      <c r="H48" s="29" t="s">
        <v>54</v>
      </c>
      <c r="I48" s="63"/>
    </row>
    <row r="49" spans="1:10" ht="23.4" x14ac:dyDescent="0.3">
      <c r="A49" s="28">
        <v>46143</v>
      </c>
      <c r="B49" s="25">
        <v>4</v>
      </c>
      <c r="C49" s="3" t="s">
        <v>8</v>
      </c>
      <c r="D49" s="51">
        <v>50</v>
      </c>
      <c r="E49" s="6" t="s">
        <v>85</v>
      </c>
      <c r="F49" s="24">
        <v>46197</v>
      </c>
      <c r="G49" s="6"/>
      <c r="H49" s="29" t="s">
        <v>89</v>
      </c>
      <c r="I49" s="63"/>
    </row>
    <row r="50" spans="1:10" ht="23.4" x14ac:dyDescent="0.3">
      <c r="A50" s="28">
        <v>46143</v>
      </c>
      <c r="B50" s="25">
        <v>5</v>
      </c>
      <c r="C50" s="3" t="s">
        <v>9</v>
      </c>
      <c r="D50" s="51">
        <v>50</v>
      </c>
      <c r="E50" s="6" t="s">
        <v>85</v>
      </c>
      <c r="F50" s="24">
        <v>46174</v>
      </c>
      <c r="G50" s="6"/>
      <c r="H50" s="29" t="s">
        <v>58</v>
      </c>
      <c r="I50" s="63"/>
    </row>
    <row r="51" spans="1:10" ht="23.4" x14ac:dyDescent="0.3">
      <c r="A51" s="28">
        <v>46143</v>
      </c>
      <c r="B51" s="25">
        <v>6</v>
      </c>
      <c r="C51" s="2" t="s">
        <v>10</v>
      </c>
      <c r="D51" s="27"/>
      <c r="E51" s="7" t="s">
        <v>86</v>
      </c>
      <c r="F51" s="26"/>
      <c r="G51" s="7"/>
      <c r="H51" s="30"/>
      <c r="I51" s="63"/>
    </row>
    <row r="52" spans="1:10" ht="23.4" x14ac:dyDescent="0.3">
      <c r="A52" s="28">
        <v>46143</v>
      </c>
      <c r="B52" s="25">
        <v>7</v>
      </c>
      <c r="C52" s="3" t="s">
        <v>12</v>
      </c>
      <c r="D52" s="51">
        <v>50</v>
      </c>
      <c r="E52" s="6" t="s">
        <v>85</v>
      </c>
      <c r="F52" s="24">
        <v>46142</v>
      </c>
      <c r="G52" s="6"/>
      <c r="H52" s="29" t="s">
        <v>51</v>
      </c>
      <c r="I52" s="63"/>
    </row>
    <row r="53" spans="1:10" ht="23.4" x14ac:dyDescent="0.3">
      <c r="A53" s="28">
        <v>46143</v>
      </c>
      <c r="B53" s="25">
        <v>8</v>
      </c>
      <c r="C53" s="3" t="s">
        <v>14</v>
      </c>
      <c r="D53" s="51">
        <v>50</v>
      </c>
      <c r="E53" s="6" t="s">
        <v>85</v>
      </c>
      <c r="F53" s="24">
        <v>46053</v>
      </c>
      <c r="G53" s="6"/>
      <c r="H53" s="29" t="s">
        <v>27</v>
      </c>
      <c r="I53" s="63"/>
    </row>
    <row r="54" spans="1:10" ht="24" thickBot="1" x14ac:dyDescent="0.35">
      <c r="A54" s="28">
        <v>46143</v>
      </c>
      <c r="B54" s="25">
        <v>9</v>
      </c>
      <c r="C54" s="2" t="s">
        <v>13</v>
      </c>
      <c r="D54" s="27"/>
      <c r="E54" s="7" t="s">
        <v>86</v>
      </c>
      <c r="F54" s="26"/>
      <c r="G54" s="7"/>
      <c r="H54" s="30"/>
      <c r="I54" s="63"/>
    </row>
    <row r="55" spans="1:10" ht="24.6" thickTop="1" thickBot="1" x14ac:dyDescent="0.35">
      <c r="A55" s="31">
        <v>46143</v>
      </c>
      <c r="B55" s="32">
        <v>10</v>
      </c>
      <c r="C55" s="46" t="s">
        <v>11</v>
      </c>
      <c r="D55" s="52">
        <v>50</v>
      </c>
      <c r="E55" s="47" t="s">
        <v>85</v>
      </c>
      <c r="F55" s="48">
        <v>46138</v>
      </c>
      <c r="G55" s="47"/>
      <c r="H55" s="49" t="s">
        <v>46</v>
      </c>
      <c r="I55" s="64"/>
      <c r="J55" s="61">
        <f>SUM(D46:D55)</f>
        <v>400</v>
      </c>
    </row>
    <row r="56" spans="1:10" ht="24" thickTop="1" x14ac:dyDescent="0.3">
      <c r="A56" s="40">
        <v>46174</v>
      </c>
      <c r="B56" s="41">
        <v>1</v>
      </c>
      <c r="C56" s="42" t="s">
        <v>5</v>
      </c>
      <c r="D56" s="50">
        <v>50</v>
      </c>
      <c r="E56" s="43" t="s">
        <v>85</v>
      </c>
      <c r="F56" s="44">
        <v>46174</v>
      </c>
      <c r="G56" s="43"/>
      <c r="H56" s="45"/>
      <c r="I56" s="62" t="s">
        <v>78</v>
      </c>
    </row>
    <row r="57" spans="1:10" ht="23.4" x14ac:dyDescent="0.3">
      <c r="A57" s="28">
        <v>46174</v>
      </c>
      <c r="B57" s="25">
        <v>2</v>
      </c>
      <c r="C57" s="2" t="s">
        <v>6</v>
      </c>
      <c r="D57" s="27"/>
      <c r="E57" s="7" t="s">
        <v>86</v>
      </c>
      <c r="F57" s="26"/>
      <c r="G57" s="7"/>
      <c r="H57" s="30"/>
      <c r="I57" s="63"/>
    </row>
    <row r="58" spans="1:10" ht="23.4" x14ac:dyDescent="0.3">
      <c r="A58" s="28">
        <v>46174</v>
      </c>
      <c r="B58" s="25">
        <v>3</v>
      </c>
      <c r="C58" s="3" t="s">
        <v>7</v>
      </c>
      <c r="D58" s="51">
        <v>50</v>
      </c>
      <c r="E58" s="6" t="s">
        <v>85</v>
      </c>
      <c r="F58" s="24">
        <v>46175</v>
      </c>
      <c r="G58" s="6"/>
      <c r="H58" s="29" t="s">
        <v>63</v>
      </c>
      <c r="I58" s="63"/>
    </row>
    <row r="59" spans="1:10" ht="23.4" x14ac:dyDescent="0.3">
      <c r="A59" s="28">
        <v>46174</v>
      </c>
      <c r="B59" s="25">
        <v>4</v>
      </c>
      <c r="C59" s="2" t="s">
        <v>8</v>
      </c>
      <c r="D59" s="27"/>
      <c r="E59" s="7" t="s">
        <v>86</v>
      </c>
      <c r="F59" s="26"/>
      <c r="G59" s="7"/>
      <c r="H59" s="30"/>
      <c r="I59" s="63"/>
    </row>
    <row r="60" spans="1:10" ht="23.4" x14ac:dyDescent="0.3">
      <c r="A60" s="28">
        <v>46174</v>
      </c>
      <c r="B60" s="25">
        <v>5</v>
      </c>
      <c r="C60" s="2" t="s">
        <v>9</v>
      </c>
      <c r="D60" s="27"/>
      <c r="E60" s="7" t="s">
        <v>86</v>
      </c>
      <c r="F60" s="26"/>
      <c r="G60" s="7"/>
      <c r="H60" s="30"/>
      <c r="I60" s="63"/>
    </row>
    <row r="61" spans="1:10" ht="23.4" x14ac:dyDescent="0.3">
      <c r="A61" s="28">
        <v>46174</v>
      </c>
      <c r="B61" s="25">
        <v>6</v>
      </c>
      <c r="C61" s="2" t="s">
        <v>10</v>
      </c>
      <c r="D61" s="27"/>
      <c r="E61" s="7" t="s">
        <v>86</v>
      </c>
      <c r="F61" s="26"/>
      <c r="G61" s="7"/>
      <c r="H61" s="30"/>
      <c r="I61" s="63"/>
    </row>
    <row r="62" spans="1:10" ht="23.4" x14ac:dyDescent="0.3">
      <c r="A62" s="28">
        <v>46174</v>
      </c>
      <c r="B62" s="25">
        <v>7</v>
      </c>
      <c r="C62" s="3" t="s">
        <v>12</v>
      </c>
      <c r="D62" s="51">
        <v>50</v>
      </c>
      <c r="E62" s="6" t="s">
        <v>85</v>
      </c>
      <c r="F62" s="24">
        <v>46175</v>
      </c>
      <c r="G62" s="6"/>
      <c r="H62" s="29" t="s">
        <v>63</v>
      </c>
      <c r="I62" s="63"/>
    </row>
    <row r="63" spans="1:10" ht="23.4" x14ac:dyDescent="0.3">
      <c r="A63" s="28">
        <v>46174</v>
      </c>
      <c r="B63" s="25">
        <v>8</v>
      </c>
      <c r="C63" s="2" t="s">
        <v>14</v>
      </c>
      <c r="D63" s="27"/>
      <c r="E63" s="7" t="s">
        <v>86</v>
      </c>
      <c r="F63" s="26"/>
      <c r="G63" s="7"/>
      <c r="H63" s="30"/>
      <c r="I63" s="63"/>
    </row>
    <row r="64" spans="1:10" ht="24" thickBot="1" x14ac:dyDescent="0.35">
      <c r="A64" s="28">
        <v>46174</v>
      </c>
      <c r="B64" s="25">
        <v>9</v>
      </c>
      <c r="C64" s="2" t="s">
        <v>13</v>
      </c>
      <c r="D64" s="27"/>
      <c r="E64" s="7" t="s">
        <v>86</v>
      </c>
      <c r="F64" s="26"/>
      <c r="G64" s="7"/>
      <c r="H64" s="30"/>
      <c r="I64" s="63"/>
    </row>
    <row r="65" spans="1:10" ht="24.6" thickTop="1" thickBot="1" x14ac:dyDescent="0.35">
      <c r="A65" s="31">
        <v>46174</v>
      </c>
      <c r="B65" s="32">
        <v>10</v>
      </c>
      <c r="C65" s="33" t="s">
        <v>11</v>
      </c>
      <c r="D65" s="53"/>
      <c r="E65" s="34" t="s">
        <v>86</v>
      </c>
      <c r="F65" s="35"/>
      <c r="G65" s="34"/>
      <c r="H65" s="36"/>
      <c r="I65" s="64"/>
      <c r="J65" s="61">
        <f>SUM(D56:D65)</f>
        <v>150</v>
      </c>
    </row>
    <row r="66" spans="1:10" ht="24" thickTop="1" x14ac:dyDescent="0.3">
      <c r="A66" s="40">
        <v>46204</v>
      </c>
      <c r="B66" s="41">
        <v>1</v>
      </c>
      <c r="C66" s="54" t="s">
        <v>5</v>
      </c>
      <c r="D66" s="55"/>
      <c r="E66" s="56" t="s">
        <v>86</v>
      </c>
      <c r="F66" s="57"/>
      <c r="G66" s="56"/>
      <c r="H66" s="58"/>
      <c r="I66" s="62" t="s">
        <v>79</v>
      </c>
    </row>
    <row r="67" spans="1:10" ht="23.4" x14ac:dyDescent="0.3">
      <c r="A67" s="28">
        <v>46204</v>
      </c>
      <c r="B67" s="25">
        <v>2</v>
      </c>
      <c r="C67" s="2" t="s">
        <v>6</v>
      </c>
      <c r="D67" s="27"/>
      <c r="E67" s="7" t="s">
        <v>86</v>
      </c>
      <c r="F67" s="26"/>
      <c r="G67" s="7"/>
      <c r="H67" s="30"/>
      <c r="I67" s="63"/>
    </row>
    <row r="68" spans="1:10" ht="23.4" x14ac:dyDescent="0.3">
      <c r="A68" s="28">
        <v>46204</v>
      </c>
      <c r="B68" s="25">
        <v>3</v>
      </c>
      <c r="C68" s="2" t="s">
        <v>7</v>
      </c>
      <c r="D68" s="27"/>
      <c r="E68" s="7" t="s">
        <v>86</v>
      </c>
      <c r="F68" s="26"/>
      <c r="G68" s="7"/>
      <c r="H68" s="30"/>
      <c r="I68" s="63"/>
    </row>
    <row r="69" spans="1:10" ht="23.4" x14ac:dyDescent="0.3">
      <c r="A69" s="28">
        <v>46204</v>
      </c>
      <c r="B69" s="25">
        <v>4</v>
      </c>
      <c r="C69" s="2" t="s">
        <v>8</v>
      </c>
      <c r="D69" s="27"/>
      <c r="E69" s="7" t="s">
        <v>86</v>
      </c>
      <c r="F69" s="26"/>
      <c r="G69" s="7"/>
      <c r="H69" s="30"/>
      <c r="I69" s="63"/>
    </row>
    <row r="70" spans="1:10" ht="23.4" x14ac:dyDescent="0.3">
      <c r="A70" s="28">
        <v>46204</v>
      </c>
      <c r="B70" s="25">
        <v>5</v>
      </c>
      <c r="C70" s="2" t="s">
        <v>9</v>
      </c>
      <c r="D70" s="27"/>
      <c r="E70" s="7" t="s">
        <v>86</v>
      </c>
      <c r="F70" s="26"/>
      <c r="G70" s="7"/>
      <c r="H70" s="30"/>
      <c r="I70" s="63"/>
    </row>
    <row r="71" spans="1:10" ht="23.4" x14ac:dyDescent="0.3">
      <c r="A71" s="28">
        <v>46204</v>
      </c>
      <c r="B71" s="25">
        <v>6</v>
      </c>
      <c r="C71" s="2" t="s">
        <v>10</v>
      </c>
      <c r="D71" s="27"/>
      <c r="E71" s="7" t="s">
        <v>86</v>
      </c>
      <c r="F71" s="26"/>
      <c r="G71" s="7"/>
      <c r="H71" s="30"/>
      <c r="I71" s="63"/>
    </row>
    <row r="72" spans="1:10" ht="23.4" x14ac:dyDescent="0.3">
      <c r="A72" s="28">
        <v>46204</v>
      </c>
      <c r="B72" s="25">
        <v>7</v>
      </c>
      <c r="C72" s="2" t="s">
        <v>12</v>
      </c>
      <c r="D72" s="27"/>
      <c r="E72" s="7" t="s">
        <v>86</v>
      </c>
      <c r="F72" s="26"/>
      <c r="G72" s="7"/>
      <c r="H72" s="30"/>
      <c r="I72" s="63"/>
    </row>
    <row r="73" spans="1:10" ht="23.4" x14ac:dyDescent="0.3">
      <c r="A73" s="28">
        <v>46204</v>
      </c>
      <c r="B73" s="25">
        <v>8</v>
      </c>
      <c r="C73" s="2" t="s">
        <v>14</v>
      </c>
      <c r="D73" s="27"/>
      <c r="E73" s="7" t="s">
        <v>86</v>
      </c>
      <c r="F73" s="26"/>
      <c r="G73" s="7"/>
      <c r="H73" s="30"/>
      <c r="I73" s="63"/>
    </row>
    <row r="74" spans="1:10" ht="24" thickBot="1" x14ac:dyDescent="0.35">
      <c r="A74" s="28">
        <v>46204</v>
      </c>
      <c r="B74" s="25">
        <v>9</v>
      </c>
      <c r="C74" s="2" t="s">
        <v>13</v>
      </c>
      <c r="D74" s="27"/>
      <c r="E74" s="7" t="s">
        <v>86</v>
      </c>
      <c r="F74" s="26"/>
      <c r="G74" s="7"/>
      <c r="H74" s="30"/>
      <c r="I74" s="63"/>
    </row>
    <row r="75" spans="1:10" ht="24.6" thickTop="1" thickBot="1" x14ac:dyDescent="0.35">
      <c r="A75" s="31">
        <v>46204</v>
      </c>
      <c r="B75" s="32">
        <v>10</v>
      </c>
      <c r="C75" s="33" t="s">
        <v>11</v>
      </c>
      <c r="D75" s="53"/>
      <c r="E75" s="34" t="s">
        <v>86</v>
      </c>
      <c r="F75" s="35"/>
      <c r="G75" s="34"/>
      <c r="H75" s="36"/>
      <c r="I75" s="64"/>
      <c r="J75" s="61">
        <f>SUM(D66:D75)</f>
        <v>0</v>
      </c>
    </row>
    <row r="76" spans="1:10" ht="24" thickTop="1" x14ac:dyDescent="0.3">
      <c r="A76" s="40">
        <v>46235</v>
      </c>
      <c r="B76" s="41">
        <v>1</v>
      </c>
      <c r="C76" s="54" t="s">
        <v>5</v>
      </c>
      <c r="D76" s="55"/>
      <c r="E76" s="56" t="s">
        <v>86</v>
      </c>
      <c r="F76" s="57"/>
      <c r="G76" s="56"/>
      <c r="H76" s="58"/>
      <c r="I76" s="62" t="s">
        <v>80</v>
      </c>
    </row>
    <row r="77" spans="1:10" ht="23.4" x14ac:dyDescent="0.3">
      <c r="A77" s="28">
        <v>46235</v>
      </c>
      <c r="B77" s="25">
        <v>2</v>
      </c>
      <c r="C77" s="2" t="s">
        <v>6</v>
      </c>
      <c r="D77" s="27"/>
      <c r="E77" s="7" t="s">
        <v>86</v>
      </c>
      <c r="F77" s="26"/>
      <c r="G77" s="7"/>
      <c r="H77" s="30"/>
      <c r="I77" s="63"/>
    </row>
    <row r="78" spans="1:10" ht="23.4" x14ac:dyDescent="0.3">
      <c r="A78" s="28">
        <v>46235</v>
      </c>
      <c r="B78" s="25">
        <v>3</v>
      </c>
      <c r="C78" s="2" t="s">
        <v>7</v>
      </c>
      <c r="D78" s="27"/>
      <c r="E78" s="7" t="s">
        <v>86</v>
      </c>
      <c r="F78" s="26"/>
      <c r="G78" s="7"/>
      <c r="H78" s="30"/>
      <c r="I78" s="63"/>
    </row>
    <row r="79" spans="1:10" ht="23.4" x14ac:dyDescent="0.3">
      <c r="A79" s="28">
        <v>46235</v>
      </c>
      <c r="B79" s="25">
        <v>4</v>
      </c>
      <c r="C79" s="2" t="s">
        <v>8</v>
      </c>
      <c r="D79" s="27"/>
      <c r="E79" s="7" t="s">
        <v>86</v>
      </c>
      <c r="F79" s="26"/>
      <c r="G79" s="7"/>
      <c r="H79" s="30"/>
      <c r="I79" s="63"/>
    </row>
    <row r="80" spans="1:10" ht="23.4" x14ac:dyDescent="0.3">
      <c r="A80" s="28">
        <v>46235</v>
      </c>
      <c r="B80" s="25">
        <v>5</v>
      </c>
      <c r="C80" s="2" t="s">
        <v>9</v>
      </c>
      <c r="D80" s="27"/>
      <c r="E80" s="7" t="s">
        <v>86</v>
      </c>
      <c r="F80" s="26"/>
      <c r="G80" s="7"/>
      <c r="H80" s="30"/>
      <c r="I80" s="63"/>
    </row>
    <row r="81" spans="1:10" ht="23.4" x14ac:dyDescent="0.3">
      <c r="A81" s="28">
        <v>46235</v>
      </c>
      <c r="B81" s="25">
        <v>6</v>
      </c>
      <c r="C81" s="2" t="s">
        <v>10</v>
      </c>
      <c r="D81" s="27"/>
      <c r="E81" s="7" t="s">
        <v>86</v>
      </c>
      <c r="F81" s="26"/>
      <c r="G81" s="7"/>
      <c r="H81" s="30"/>
      <c r="I81" s="63"/>
    </row>
    <row r="82" spans="1:10" ht="23.4" x14ac:dyDescent="0.3">
      <c r="A82" s="28">
        <v>46235</v>
      </c>
      <c r="B82" s="25">
        <v>7</v>
      </c>
      <c r="C82" s="2" t="s">
        <v>12</v>
      </c>
      <c r="D82" s="27"/>
      <c r="E82" s="7" t="s">
        <v>86</v>
      </c>
      <c r="F82" s="26"/>
      <c r="G82" s="7"/>
      <c r="H82" s="30"/>
      <c r="I82" s="63"/>
    </row>
    <row r="83" spans="1:10" ht="23.4" x14ac:dyDescent="0.3">
      <c r="A83" s="28">
        <v>46235</v>
      </c>
      <c r="B83" s="25">
        <v>8</v>
      </c>
      <c r="C83" s="2" t="s">
        <v>14</v>
      </c>
      <c r="D83" s="27"/>
      <c r="E83" s="7" t="s">
        <v>86</v>
      </c>
      <c r="F83" s="26"/>
      <c r="G83" s="7"/>
      <c r="H83" s="30"/>
      <c r="I83" s="63"/>
    </row>
    <row r="84" spans="1:10" ht="24" thickBot="1" x14ac:dyDescent="0.35">
      <c r="A84" s="28">
        <v>46235</v>
      </c>
      <c r="B84" s="25">
        <v>9</v>
      </c>
      <c r="C84" s="2" t="s">
        <v>13</v>
      </c>
      <c r="D84" s="27"/>
      <c r="E84" s="7" t="s">
        <v>86</v>
      </c>
      <c r="F84" s="26"/>
      <c r="G84" s="7"/>
      <c r="H84" s="30"/>
      <c r="I84" s="63"/>
    </row>
    <row r="85" spans="1:10" ht="24.6" thickTop="1" thickBot="1" x14ac:dyDescent="0.35">
      <c r="A85" s="31">
        <v>46235</v>
      </c>
      <c r="B85" s="32">
        <v>10</v>
      </c>
      <c r="C85" s="33" t="s">
        <v>11</v>
      </c>
      <c r="D85" s="53"/>
      <c r="E85" s="34" t="s">
        <v>86</v>
      </c>
      <c r="F85" s="35"/>
      <c r="G85" s="34"/>
      <c r="H85" s="36"/>
      <c r="I85" s="64"/>
      <c r="J85" s="61">
        <f>SUM(D76:D85)</f>
        <v>0</v>
      </c>
    </row>
    <row r="86" spans="1:10" ht="24" thickTop="1" x14ac:dyDescent="0.3">
      <c r="A86" s="40">
        <v>46266</v>
      </c>
      <c r="B86" s="41">
        <v>1</v>
      </c>
      <c r="C86" s="54" t="s">
        <v>5</v>
      </c>
      <c r="D86" s="55"/>
      <c r="E86" s="56" t="s">
        <v>86</v>
      </c>
      <c r="F86" s="57"/>
      <c r="G86" s="56"/>
      <c r="H86" s="58"/>
      <c r="I86" s="62" t="s">
        <v>81</v>
      </c>
    </row>
    <row r="87" spans="1:10" ht="23.4" x14ac:dyDescent="0.3">
      <c r="A87" s="28">
        <v>46266</v>
      </c>
      <c r="B87" s="25">
        <v>2</v>
      </c>
      <c r="C87" s="2" t="s">
        <v>6</v>
      </c>
      <c r="D87" s="27"/>
      <c r="E87" s="7" t="s">
        <v>86</v>
      </c>
      <c r="F87" s="26"/>
      <c r="G87" s="7"/>
      <c r="H87" s="30"/>
      <c r="I87" s="63"/>
    </row>
    <row r="88" spans="1:10" ht="23.4" x14ac:dyDescent="0.3">
      <c r="A88" s="28">
        <v>46266</v>
      </c>
      <c r="B88" s="25">
        <v>3</v>
      </c>
      <c r="C88" s="2" t="s">
        <v>7</v>
      </c>
      <c r="D88" s="27"/>
      <c r="E88" s="7" t="s">
        <v>86</v>
      </c>
      <c r="F88" s="26"/>
      <c r="G88" s="7"/>
      <c r="H88" s="30"/>
      <c r="I88" s="63"/>
    </row>
    <row r="89" spans="1:10" ht="23.4" x14ac:dyDescent="0.3">
      <c r="A89" s="28">
        <v>46266</v>
      </c>
      <c r="B89" s="25">
        <v>4</v>
      </c>
      <c r="C89" s="2" t="s">
        <v>8</v>
      </c>
      <c r="D89" s="27"/>
      <c r="E89" s="7" t="s">
        <v>86</v>
      </c>
      <c r="F89" s="26"/>
      <c r="G89" s="7"/>
      <c r="H89" s="30"/>
      <c r="I89" s="63"/>
    </row>
    <row r="90" spans="1:10" ht="23.4" x14ac:dyDescent="0.3">
      <c r="A90" s="28">
        <v>46266</v>
      </c>
      <c r="B90" s="25">
        <v>5</v>
      </c>
      <c r="C90" s="2" t="s">
        <v>9</v>
      </c>
      <c r="D90" s="27"/>
      <c r="E90" s="7" t="s">
        <v>86</v>
      </c>
      <c r="F90" s="26"/>
      <c r="G90" s="7"/>
      <c r="H90" s="30"/>
      <c r="I90" s="63"/>
    </row>
    <row r="91" spans="1:10" ht="23.4" x14ac:dyDescent="0.3">
      <c r="A91" s="28">
        <v>46266</v>
      </c>
      <c r="B91" s="25">
        <v>6</v>
      </c>
      <c r="C91" s="2" t="s">
        <v>10</v>
      </c>
      <c r="D91" s="27"/>
      <c r="E91" s="7" t="s">
        <v>86</v>
      </c>
      <c r="F91" s="26"/>
      <c r="G91" s="7"/>
      <c r="H91" s="30"/>
      <c r="I91" s="63"/>
    </row>
    <row r="92" spans="1:10" ht="23.4" x14ac:dyDescent="0.3">
      <c r="A92" s="28">
        <v>46266</v>
      </c>
      <c r="B92" s="25">
        <v>7</v>
      </c>
      <c r="C92" s="2" t="s">
        <v>12</v>
      </c>
      <c r="D92" s="27"/>
      <c r="E92" s="7" t="s">
        <v>86</v>
      </c>
      <c r="F92" s="26"/>
      <c r="G92" s="7"/>
      <c r="H92" s="30"/>
      <c r="I92" s="63"/>
    </row>
    <row r="93" spans="1:10" ht="23.4" x14ac:dyDescent="0.3">
      <c r="A93" s="28">
        <v>46266</v>
      </c>
      <c r="B93" s="25">
        <v>8</v>
      </c>
      <c r="C93" s="2" t="s">
        <v>14</v>
      </c>
      <c r="D93" s="27"/>
      <c r="E93" s="7" t="s">
        <v>86</v>
      </c>
      <c r="F93" s="26"/>
      <c r="G93" s="7"/>
      <c r="H93" s="30"/>
      <c r="I93" s="63"/>
    </row>
    <row r="94" spans="1:10" ht="24" thickBot="1" x14ac:dyDescent="0.35">
      <c r="A94" s="28">
        <v>46266</v>
      </c>
      <c r="B94" s="25">
        <v>9</v>
      </c>
      <c r="C94" s="2" t="s">
        <v>13</v>
      </c>
      <c r="D94" s="27"/>
      <c r="E94" s="7" t="s">
        <v>86</v>
      </c>
      <c r="F94" s="26"/>
      <c r="G94" s="7"/>
      <c r="H94" s="30"/>
      <c r="I94" s="63"/>
    </row>
    <row r="95" spans="1:10" ht="24.6" thickTop="1" thickBot="1" x14ac:dyDescent="0.35">
      <c r="A95" s="31">
        <v>46266</v>
      </c>
      <c r="B95" s="32">
        <v>10</v>
      </c>
      <c r="C95" s="33" t="s">
        <v>11</v>
      </c>
      <c r="D95" s="53"/>
      <c r="E95" s="34" t="s">
        <v>86</v>
      </c>
      <c r="F95" s="35"/>
      <c r="G95" s="34"/>
      <c r="H95" s="36"/>
      <c r="I95" s="64"/>
      <c r="J95" s="61">
        <f>SUM(D86:D95)</f>
        <v>0</v>
      </c>
    </row>
    <row r="96" spans="1:10" ht="24" thickTop="1" x14ac:dyDescent="0.3">
      <c r="A96" s="40">
        <v>46296</v>
      </c>
      <c r="B96" s="41">
        <v>1</v>
      </c>
      <c r="C96" s="54" t="s">
        <v>5</v>
      </c>
      <c r="D96" s="55"/>
      <c r="E96" s="56" t="s">
        <v>86</v>
      </c>
      <c r="F96" s="57"/>
      <c r="G96" s="56"/>
      <c r="H96" s="58"/>
      <c r="I96" s="62" t="s">
        <v>82</v>
      </c>
    </row>
    <row r="97" spans="1:10" ht="23.4" x14ac:dyDescent="0.3">
      <c r="A97" s="28">
        <v>46296</v>
      </c>
      <c r="B97" s="25">
        <v>2</v>
      </c>
      <c r="C97" s="2" t="s">
        <v>6</v>
      </c>
      <c r="D97" s="27"/>
      <c r="E97" s="7" t="s">
        <v>86</v>
      </c>
      <c r="F97" s="26"/>
      <c r="G97" s="7"/>
      <c r="H97" s="30"/>
      <c r="I97" s="63"/>
    </row>
    <row r="98" spans="1:10" ht="23.4" x14ac:dyDescent="0.3">
      <c r="A98" s="28">
        <v>46296</v>
      </c>
      <c r="B98" s="25">
        <v>3</v>
      </c>
      <c r="C98" s="2" t="s">
        <v>7</v>
      </c>
      <c r="D98" s="27"/>
      <c r="E98" s="7" t="s">
        <v>86</v>
      </c>
      <c r="F98" s="26"/>
      <c r="G98" s="7"/>
      <c r="H98" s="30"/>
      <c r="I98" s="63"/>
    </row>
    <row r="99" spans="1:10" ht="23.4" x14ac:dyDescent="0.3">
      <c r="A99" s="28">
        <v>46296</v>
      </c>
      <c r="B99" s="25">
        <v>4</v>
      </c>
      <c r="C99" s="2" t="s">
        <v>8</v>
      </c>
      <c r="D99" s="27"/>
      <c r="E99" s="7" t="s">
        <v>86</v>
      </c>
      <c r="F99" s="26"/>
      <c r="G99" s="7"/>
      <c r="H99" s="30"/>
      <c r="I99" s="63"/>
    </row>
    <row r="100" spans="1:10" ht="23.4" x14ac:dyDescent="0.3">
      <c r="A100" s="28">
        <v>46296</v>
      </c>
      <c r="B100" s="25">
        <v>5</v>
      </c>
      <c r="C100" s="2" t="s">
        <v>9</v>
      </c>
      <c r="D100" s="27"/>
      <c r="E100" s="7" t="s">
        <v>86</v>
      </c>
      <c r="F100" s="26"/>
      <c r="G100" s="7"/>
      <c r="H100" s="30"/>
      <c r="I100" s="63"/>
    </row>
    <row r="101" spans="1:10" ht="23.4" x14ac:dyDescent="0.3">
      <c r="A101" s="28">
        <v>46296</v>
      </c>
      <c r="B101" s="25">
        <v>6</v>
      </c>
      <c r="C101" s="2" t="s">
        <v>10</v>
      </c>
      <c r="D101" s="27"/>
      <c r="E101" s="7" t="s">
        <v>86</v>
      </c>
      <c r="F101" s="26"/>
      <c r="G101" s="7"/>
      <c r="H101" s="30"/>
      <c r="I101" s="63"/>
    </row>
    <row r="102" spans="1:10" ht="23.4" x14ac:dyDescent="0.3">
      <c r="A102" s="28">
        <v>46296</v>
      </c>
      <c r="B102" s="25">
        <v>7</v>
      </c>
      <c r="C102" s="2" t="s">
        <v>12</v>
      </c>
      <c r="D102" s="27"/>
      <c r="E102" s="7" t="s">
        <v>86</v>
      </c>
      <c r="F102" s="26"/>
      <c r="G102" s="7"/>
      <c r="H102" s="30"/>
      <c r="I102" s="63"/>
    </row>
    <row r="103" spans="1:10" ht="23.4" x14ac:dyDescent="0.3">
      <c r="A103" s="28">
        <v>46296</v>
      </c>
      <c r="B103" s="25">
        <v>8</v>
      </c>
      <c r="C103" s="2" t="s">
        <v>14</v>
      </c>
      <c r="D103" s="27"/>
      <c r="E103" s="7" t="s">
        <v>86</v>
      </c>
      <c r="F103" s="26"/>
      <c r="G103" s="7"/>
      <c r="H103" s="30"/>
      <c r="I103" s="63"/>
    </row>
    <row r="104" spans="1:10" ht="24" thickBot="1" x14ac:dyDescent="0.35">
      <c r="A104" s="28">
        <v>46296</v>
      </c>
      <c r="B104" s="25">
        <v>9</v>
      </c>
      <c r="C104" s="2" t="s">
        <v>13</v>
      </c>
      <c r="D104" s="27"/>
      <c r="E104" s="7" t="s">
        <v>86</v>
      </c>
      <c r="F104" s="26"/>
      <c r="G104" s="7"/>
      <c r="H104" s="30"/>
      <c r="I104" s="63"/>
    </row>
    <row r="105" spans="1:10" ht="24.6" thickTop="1" thickBot="1" x14ac:dyDescent="0.35">
      <c r="A105" s="31">
        <v>46296</v>
      </c>
      <c r="B105" s="32">
        <v>10</v>
      </c>
      <c r="C105" s="33" t="s">
        <v>11</v>
      </c>
      <c r="D105" s="53"/>
      <c r="E105" s="34" t="s">
        <v>86</v>
      </c>
      <c r="F105" s="35"/>
      <c r="G105" s="34"/>
      <c r="H105" s="36"/>
      <c r="I105" s="64"/>
      <c r="J105" s="61">
        <f>SUM(D96:D105)</f>
        <v>0</v>
      </c>
    </row>
    <row r="106" spans="1:10" ht="24" thickTop="1" x14ac:dyDescent="0.3">
      <c r="A106" s="40">
        <v>46327</v>
      </c>
      <c r="B106" s="41">
        <v>1</v>
      </c>
      <c r="C106" s="54" t="s">
        <v>5</v>
      </c>
      <c r="D106" s="55"/>
      <c r="E106" s="56" t="s">
        <v>86</v>
      </c>
      <c r="F106" s="57"/>
      <c r="G106" s="56"/>
      <c r="H106" s="58"/>
      <c r="I106" s="62" t="s">
        <v>83</v>
      </c>
    </row>
    <row r="107" spans="1:10" ht="23.4" x14ac:dyDescent="0.3">
      <c r="A107" s="28">
        <v>46327</v>
      </c>
      <c r="B107" s="25">
        <v>2</v>
      </c>
      <c r="C107" s="2" t="s">
        <v>6</v>
      </c>
      <c r="D107" s="27"/>
      <c r="E107" s="7" t="s">
        <v>86</v>
      </c>
      <c r="F107" s="26"/>
      <c r="G107" s="7"/>
      <c r="H107" s="30"/>
      <c r="I107" s="63"/>
    </row>
    <row r="108" spans="1:10" ht="23.4" x14ac:dyDescent="0.3">
      <c r="A108" s="28">
        <v>46327</v>
      </c>
      <c r="B108" s="25">
        <v>3</v>
      </c>
      <c r="C108" s="2" t="s">
        <v>7</v>
      </c>
      <c r="D108" s="27"/>
      <c r="E108" s="7" t="s">
        <v>86</v>
      </c>
      <c r="F108" s="26"/>
      <c r="G108" s="7"/>
      <c r="H108" s="30"/>
      <c r="I108" s="63"/>
    </row>
    <row r="109" spans="1:10" ht="23.4" x14ac:dyDescent="0.3">
      <c r="A109" s="28">
        <v>46327</v>
      </c>
      <c r="B109" s="25">
        <v>4</v>
      </c>
      <c r="C109" s="2" t="s">
        <v>8</v>
      </c>
      <c r="D109" s="27"/>
      <c r="E109" s="7" t="s">
        <v>86</v>
      </c>
      <c r="F109" s="26"/>
      <c r="G109" s="7"/>
      <c r="H109" s="30"/>
      <c r="I109" s="63"/>
    </row>
    <row r="110" spans="1:10" ht="23.4" x14ac:dyDescent="0.3">
      <c r="A110" s="28">
        <v>46327</v>
      </c>
      <c r="B110" s="25">
        <v>5</v>
      </c>
      <c r="C110" s="2" t="s">
        <v>9</v>
      </c>
      <c r="D110" s="27"/>
      <c r="E110" s="7" t="s">
        <v>86</v>
      </c>
      <c r="F110" s="26"/>
      <c r="G110" s="7"/>
      <c r="H110" s="30"/>
      <c r="I110" s="63"/>
    </row>
    <row r="111" spans="1:10" ht="23.4" x14ac:dyDescent="0.3">
      <c r="A111" s="28">
        <v>46327</v>
      </c>
      <c r="B111" s="25">
        <v>6</v>
      </c>
      <c r="C111" s="2" t="s">
        <v>10</v>
      </c>
      <c r="D111" s="27"/>
      <c r="E111" s="7" t="s">
        <v>86</v>
      </c>
      <c r="F111" s="26"/>
      <c r="G111" s="7"/>
      <c r="H111" s="30"/>
      <c r="I111" s="63"/>
    </row>
    <row r="112" spans="1:10" ht="23.4" x14ac:dyDescent="0.3">
      <c r="A112" s="28">
        <v>46327</v>
      </c>
      <c r="B112" s="25">
        <v>7</v>
      </c>
      <c r="C112" s="2" t="s">
        <v>12</v>
      </c>
      <c r="D112" s="27"/>
      <c r="E112" s="7" t="s">
        <v>86</v>
      </c>
      <c r="F112" s="26"/>
      <c r="G112" s="7"/>
      <c r="H112" s="30"/>
      <c r="I112" s="63"/>
    </row>
    <row r="113" spans="1:10" ht="23.4" x14ac:dyDescent="0.3">
      <c r="A113" s="28">
        <v>46327</v>
      </c>
      <c r="B113" s="25">
        <v>8</v>
      </c>
      <c r="C113" s="2" t="s">
        <v>14</v>
      </c>
      <c r="D113" s="27"/>
      <c r="E113" s="7" t="s">
        <v>86</v>
      </c>
      <c r="F113" s="26"/>
      <c r="G113" s="7"/>
      <c r="H113" s="30"/>
      <c r="I113" s="63"/>
    </row>
    <row r="114" spans="1:10" ht="24" thickBot="1" x14ac:dyDescent="0.35">
      <c r="A114" s="28">
        <v>46327</v>
      </c>
      <c r="B114" s="25">
        <v>9</v>
      </c>
      <c r="C114" s="2" t="s">
        <v>13</v>
      </c>
      <c r="D114" s="27"/>
      <c r="E114" s="7" t="s">
        <v>86</v>
      </c>
      <c r="F114" s="26"/>
      <c r="G114" s="7"/>
      <c r="H114" s="30"/>
      <c r="I114" s="63"/>
    </row>
    <row r="115" spans="1:10" ht="24.6" thickTop="1" thickBot="1" x14ac:dyDescent="0.35">
      <c r="A115" s="31">
        <v>46327</v>
      </c>
      <c r="B115" s="32">
        <v>10</v>
      </c>
      <c r="C115" s="33" t="s">
        <v>11</v>
      </c>
      <c r="D115" s="53"/>
      <c r="E115" s="34" t="s">
        <v>86</v>
      </c>
      <c r="F115" s="35"/>
      <c r="G115" s="34"/>
      <c r="H115" s="36"/>
      <c r="I115" s="64"/>
      <c r="J115" s="61">
        <f>SUM(D106:D115)</f>
        <v>0</v>
      </c>
    </row>
    <row r="116" spans="1:10" ht="24" thickTop="1" x14ac:dyDescent="0.3">
      <c r="A116" s="40">
        <v>46357</v>
      </c>
      <c r="B116" s="41">
        <v>1</v>
      </c>
      <c r="C116" s="54" t="s">
        <v>5</v>
      </c>
      <c r="D116" s="55"/>
      <c r="E116" s="56" t="s">
        <v>86</v>
      </c>
      <c r="F116" s="57"/>
      <c r="G116" s="56"/>
      <c r="H116" s="58"/>
      <c r="I116" s="62" t="s">
        <v>84</v>
      </c>
    </row>
    <row r="117" spans="1:10" ht="23.4" x14ac:dyDescent="0.3">
      <c r="A117" s="28">
        <v>46357</v>
      </c>
      <c r="B117" s="25">
        <v>2</v>
      </c>
      <c r="C117" s="2" t="s">
        <v>6</v>
      </c>
      <c r="D117" s="27"/>
      <c r="E117" s="7" t="s">
        <v>86</v>
      </c>
      <c r="F117" s="26"/>
      <c r="G117" s="7"/>
      <c r="H117" s="30"/>
      <c r="I117" s="63"/>
    </row>
    <row r="118" spans="1:10" ht="23.4" x14ac:dyDescent="0.3">
      <c r="A118" s="28">
        <v>46357</v>
      </c>
      <c r="B118" s="25">
        <v>3</v>
      </c>
      <c r="C118" s="2" t="s">
        <v>7</v>
      </c>
      <c r="D118" s="27"/>
      <c r="E118" s="7" t="s">
        <v>86</v>
      </c>
      <c r="F118" s="26"/>
      <c r="G118" s="7"/>
      <c r="H118" s="30"/>
      <c r="I118" s="63"/>
    </row>
    <row r="119" spans="1:10" ht="23.4" x14ac:dyDescent="0.3">
      <c r="A119" s="28">
        <v>46357</v>
      </c>
      <c r="B119" s="25">
        <v>4</v>
      </c>
      <c r="C119" s="2" t="s">
        <v>8</v>
      </c>
      <c r="D119" s="27"/>
      <c r="E119" s="7" t="s">
        <v>86</v>
      </c>
      <c r="F119" s="26"/>
      <c r="G119" s="7"/>
      <c r="H119" s="30"/>
      <c r="I119" s="63"/>
    </row>
    <row r="120" spans="1:10" ht="23.4" x14ac:dyDescent="0.3">
      <c r="A120" s="28">
        <v>46357</v>
      </c>
      <c r="B120" s="25">
        <v>5</v>
      </c>
      <c r="C120" s="2" t="s">
        <v>9</v>
      </c>
      <c r="D120" s="27"/>
      <c r="E120" s="7" t="s">
        <v>86</v>
      </c>
      <c r="F120" s="26"/>
      <c r="G120" s="7"/>
      <c r="H120" s="30"/>
      <c r="I120" s="63"/>
    </row>
    <row r="121" spans="1:10" ht="23.4" x14ac:dyDescent="0.3">
      <c r="A121" s="28">
        <v>46357</v>
      </c>
      <c r="B121" s="25">
        <v>6</v>
      </c>
      <c r="C121" s="2" t="s">
        <v>10</v>
      </c>
      <c r="D121" s="27"/>
      <c r="E121" s="7" t="s">
        <v>86</v>
      </c>
      <c r="F121" s="26"/>
      <c r="G121" s="7"/>
      <c r="H121" s="30"/>
      <c r="I121" s="63"/>
    </row>
    <row r="122" spans="1:10" ht="23.4" x14ac:dyDescent="0.3">
      <c r="A122" s="28">
        <v>46357</v>
      </c>
      <c r="B122" s="25">
        <v>7</v>
      </c>
      <c r="C122" s="2" t="s">
        <v>12</v>
      </c>
      <c r="D122" s="27"/>
      <c r="E122" s="7" t="s">
        <v>86</v>
      </c>
      <c r="F122" s="26"/>
      <c r="G122" s="7"/>
      <c r="H122" s="30"/>
      <c r="I122" s="63"/>
    </row>
    <row r="123" spans="1:10" ht="23.4" x14ac:dyDescent="0.3">
      <c r="A123" s="28">
        <v>46357</v>
      </c>
      <c r="B123" s="25">
        <v>8</v>
      </c>
      <c r="C123" s="2" t="s">
        <v>14</v>
      </c>
      <c r="D123" s="27"/>
      <c r="E123" s="7" t="s">
        <v>86</v>
      </c>
      <c r="F123" s="26"/>
      <c r="G123" s="7"/>
      <c r="H123" s="30"/>
      <c r="I123" s="63"/>
    </row>
    <row r="124" spans="1:10" ht="24" thickBot="1" x14ac:dyDescent="0.35">
      <c r="A124" s="28">
        <v>46357</v>
      </c>
      <c r="B124" s="25">
        <v>9</v>
      </c>
      <c r="C124" s="2" t="s">
        <v>13</v>
      </c>
      <c r="D124" s="27"/>
      <c r="E124" s="7" t="s">
        <v>86</v>
      </c>
      <c r="F124" s="26"/>
      <c r="G124" s="7"/>
      <c r="H124" s="30"/>
      <c r="I124" s="63"/>
    </row>
    <row r="125" spans="1:10" ht="24.6" thickTop="1" thickBot="1" x14ac:dyDescent="0.35">
      <c r="A125" s="31">
        <v>46357</v>
      </c>
      <c r="B125" s="32">
        <v>10</v>
      </c>
      <c r="C125" s="33" t="s">
        <v>11</v>
      </c>
      <c r="D125" s="53"/>
      <c r="E125" s="34" t="s">
        <v>86</v>
      </c>
      <c r="F125" s="35"/>
      <c r="G125" s="34"/>
      <c r="H125" s="36"/>
      <c r="I125" s="64"/>
      <c r="J125" s="61">
        <f>SUM(D116:D125)</f>
        <v>0</v>
      </c>
    </row>
    <row r="126" spans="1:10" ht="15" thickTop="1" x14ac:dyDescent="0.3"/>
  </sheetData>
  <mergeCells count="12">
    <mergeCell ref="I66:I75"/>
    <mergeCell ref="I76:I85"/>
    <mergeCell ref="I86:I95"/>
    <mergeCell ref="I96:I105"/>
    <mergeCell ref="I106:I115"/>
    <mergeCell ref="I116:I125"/>
    <mergeCell ref="I6:I15"/>
    <mergeCell ref="I16:I25"/>
    <mergeCell ref="I26:I35"/>
    <mergeCell ref="I36:I45"/>
    <mergeCell ref="I46:I55"/>
    <mergeCell ref="I56:I65"/>
  </mergeCells>
  <pageMargins left="0" right="0" top="0" bottom="0" header="0" footer="0"/>
  <pageSetup orientation="portrait" horizontalDpi="4294967295" verticalDpi="4294967295" r:id="rId1"/>
  <ignoredErrors>
    <ignoredError sqref="J15 J25 J35 J45 J55 J65 J75 J85 J95 J105 J11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rightToLeft="1" topLeftCell="A28" zoomScaleNormal="100" zoomScaleSheetLayoutView="100" workbookViewId="0">
      <selection activeCell="G39" sqref="G39"/>
    </sheetView>
  </sheetViews>
  <sheetFormatPr defaultRowHeight="14.4" x14ac:dyDescent="0.3"/>
  <cols>
    <col min="1" max="1" width="26.109375" bestFit="1" customWidth="1"/>
    <col min="2" max="2" width="62.33203125" bestFit="1" customWidth="1"/>
    <col min="3" max="3" width="26.109375" style="8" customWidth="1"/>
    <col min="4" max="4" width="50.88671875" bestFit="1" customWidth="1"/>
  </cols>
  <sheetData>
    <row r="1" spans="1:4" ht="51.6" x14ac:dyDescent="0.95">
      <c r="A1" s="59" t="s">
        <v>87</v>
      </c>
    </row>
    <row r="4" spans="1:4" ht="23.4" x14ac:dyDescent="0.3">
      <c r="A4" s="11" t="s">
        <v>2</v>
      </c>
      <c r="B4" s="12" t="s">
        <v>0</v>
      </c>
      <c r="C4" s="4" t="s">
        <v>1</v>
      </c>
      <c r="D4" s="1" t="s">
        <v>4</v>
      </c>
    </row>
    <row r="5" spans="1:4" ht="23.4" x14ac:dyDescent="0.3">
      <c r="A5" s="22"/>
      <c r="B5" s="13" t="s">
        <v>88</v>
      </c>
      <c r="C5" s="9">
        <v>-235.79</v>
      </c>
      <c r="D5" s="10"/>
    </row>
    <row r="6" spans="1:4" ht="23.4" x14ac:dyDescent="0.3">
      <c r="A6" s="22"/>
      <c r="B6" s="13" t="s">
        <v>3</v>
      </c>
      <c r="C6" s="9">
        <v>-55</v>
      </c>
      <c r="D6" s="10"/>
    </row>
    <row r="7" spans="1:4" ht="23.4" x14ac:dyDescent="0.3">
      <c r="A7" s="22"/>
      <c r="B7" s="13" t="s">
        <v>15</v>
      </c>
      <c r="C7" s="9">
        <v>-20</v>
      </c>
      <c r="D7" s="10"/>
    </row>
    <row r="8" spans="1:4" ht="23.4" x14ac:dyDescent="0.3">
      <c r="A8" s="22"/>
      <c r="B8" s="13" t="s">
        <v>16</v>
      </c>
      <c r="C8" s="9">
        <v>-140</v>
      </c>
      <c r="D8" s="10"/>
    </row>
    <row r="9" spans="1:4" ht="23.4" x14ac:dyDescent="0.3">
      <c r="A9" s="22"/>
      <c r="B9" s="14" t="s">
        <v>22</v>
      </c>
      <c r="C9" s="5">
        <v>1000</v>
      </c>
      <c r="D9" s="10"/>
    </row>
    <row r="10" spans="1:4" ht="23.4" x14ac:dyDescent="0.3">
      <c r="A10" s="22"/>
      <c r="B10" s="13" t="s">
        <v>26</v>
      </c>
      <c r="C10" s="9">
        <v>-72.63</v>
      </c>
      <c r="D10" s="10"/>
    </row>
    <row r="11" spans="1:4" ht="23.4" x14ac:dyDescent="0.3">
      <c r="A11" s="22"/>
      <c r="B11" s="13" t="s">
        <v>28</v>
      </c>
      <c r="C11" s="9">
        <v>-104.4</v>
      </c>
      <c r="D11" s="10"/>
    </row>
    <row r="12" spans="1:4" ht="23.4" x14ac:dyDescent="0.3">
      <c r="A12" s="22">
        <v>46071</v>
      </c>
      <c r="B12" s="13" t="s">
        <v>29</v>
      </c>
      <c r="C12" s="9">
        <v>-145</v>
      </c>
      <c r="D12" s="10"/>
    </row>
    <row r="13" spans="1:4" ht="23.4" x14ac:dyDescent="0.3">
      <c r="A13" s="22"/>
      <c r="B13" s="13" t="s">
        <v>30</v>
      </c>
      <c r="C13" s="9">
        <f>-8.5-25</f>
        <v>-33.5</v>
      </c>
      <c r="D13" s="10"/>
    </row>
    <row r="14" spans="1:4" ht="23.4" x14ac:dyDescent="0.3">
      <c r="A14" s="22"/>
      <c r="B14" s="13" t="s">
        <v>32</v>
      </c>
      <c r="C14" s="9">
        <v>-70</v>
      </c>
      <c r="D14" s="10"/>
    </row>
    <row r="15" spans="1:4" ht="23.4" x14ac:dyDescent="0.3">
      <c r="A15" s="22"/>
      <c r="B15" s="13" t="s">
        <v>33</v>
      </c>
      <c r="C15" s="9">
        <v>-1</v>
      </c>
      <c r="D15" s="10"/>
    </row>
    <row r="16" spans="1:4" ht="23.4" x14ac:dyDescent="0.3">
      <c r="A16" s="22"/>
      <c r="B16" s="13" t="s">
        <v>35</v>
      </c>
      <c r="C16" s="9">
        <v>-71</v>
      </c>
      <c r="D16" s="10"/>
    </row>
    <row r="17" spans="1:4" ht="23.4" x14ac:dyDescent="0.3">
      <c r="A17" s="22"/>
      <c r="B17" s="14" t="s">
        <v>38</v>
      </c>
      <c r="C17" s="5">
        <v>500</v>
      </c>
      <c r="D17" s="10"/>
    </row>
    <row r="18" spans="1:4" ht="23.4" x14ac:dyDescent="0.3">
      <c r="A18" s="22">
        <v>46087</v>
      </c>
      <c r="B18" s="13" t="s">
        <v>39</v>
      </c>
      <c r="C18" s="9">
        <v>-32</v>
      </c>
      <c r="D18" s="10"/>
    </row>
    <row r="19" spans="1:4" ht="23.4" x14ac:dyDescent="0.3">
      <c r="A19" s="22"/>
      <c r="B19" s="13" t="s">
        <v>40</v>
      </c>
      <c r="C19" s="9">
        <v>-100</v>
      </c>
      <c r="D19" s="10"/>
    </row>
    <row r="20" spans="1:4" ht="23.4" x14ac:dyDescent="0.3">
      <c r="A20" s="22"/>
      <c r="B20" s="13" t="s">
        <v>39</v>
      </c>
      <c r="C20" s="9">
        <v>-48.9</v>
      </c>
      <c r="D20" s="10"/>
    </row>
    <row r="21" spans="1:4" ht="23.4" x14ac:dyDescent="0.3">
      <c r="A21" s="22"/>
      <c r="B21" s="14" t="s">
        <v>59</v>
      </c>
      <c r="C21" s="5">
        <v>500</v>
      </c>
      <c r="D21" s="10"/>
    </row>
    <row r="22" spans="1:4" ht="23.4" x14ac:dyDescent="0.3">
      <c r="A22" s="22"/>
      <c r="B22" s="13" t="s">
        <v>52</v>
      </c>
      <c r="C22" s="9">
        <v>-46.02</v>
      </c>
      <c r="D22" s="10"/>
    </row>
    <row r="23" spans="1:4" ht="23.4" x14ac:dyDescent="0.3">
      <c r="A23" s="22"/>
      <c r="B23" s="13" t="s">
        <v>3</v>
      </c>
      <c r="C23" s="9">
        <v>-33</v>
      </c>
      <c r="D23" s="10"/>
    </row>
    <row r="24" spans="1:4" ht="23.4" x14ac:dyDescent="0.3">
      <c r="A24" s="22"/>
      <c r="B24" s="14" t="s">
        <v>60</v>
      </c>
      <c r="C24" s="5">
        <v>500</v>
      </c>
      <c r="D24" s="10"/>
    </row>
    <row r="25" spans="1:4" ht="23.4" x14ac:dyDescent="0.3">
      <c r="A25" s="22"/>
      <c r="B25" s="13" t="s">
        <v>16</v>
      </c>
      <c r="C25" s="9">
        <v>-112</v>
      </c>
      <c r="D25" s="10"/>
    </row>
    <row r="26" spans="1:4" ht="23.4" x14ac:dyDescent="0.3">
      <c r="A26" s="22"/>
      <c r="B26" s="13" t="s">
        <v>29</v>
      </c>
      <c r="C26" s="9">
        <v>-152</v>
      </c>
      <c r="D26" s="10"/>
    </row>
    <row r="27" spans="1:4" ht="23.4" x14ac:dyDescent="0.3">
      <c r="A27" s="22"/>
      <c r="B27" s="14" t="s">
        <v>61</v>
      </c>
      <c r="C27" s="5">
        <v>500</v>
      </c>
      <c r="D27" s="10"/>
    </row>
    <row r="28" spans="1:4" ht="23.4" x14ac:dyDescent="0.3">
      <c r="A28" s="22"/>
      <c r="B28" s="13" t="s">
        <v>53</v>
      </c>
      <c r="C28" s="9">
        <v>-26</v>
      </c>
      <c r="D28" s="10"/>
    </row>
    <row r="29" spans="1:4" ht="23.4" x14ac:dyDescent="0.3">
      <c r="A29" s="22"/>
      <c r="B29" s="13" t="s">
        <v>55</v>
      </c>
      <c r="C29" s="9">
        <v>-128</v>
      </c>
      <c r="D29" s="10"/>
    </row>
    <row r="30" spans="1:4" ht="23.4" x14ac:dyDescent="0.3">
      <c r="A30" s="22"/>
      <c r="B30" s="13" t="s">
        <v>56</v>
      </c>
      <c r="C30" s="9">
        <v>-62.99</v>
      </c>
      <c r="D30" s="10"/>
    </row>
    <row r="31" spans="1:4" ht="23.4" x14ac:dyDescent="0.3">
      <c r="A31" s="22"/>
      <c r="B31" s="13" t="s">
        <v>57</v>
      </c>
      <c r="C31" s="9">
        <v>-18.5</v>
      </c>
      <c r="D31" s="10"/>
    </row>
    <row r="32" spans="1:4" ht="23.4" x14ac:dyDescent="0.3">
      <c r="A32" s="22"/>
      <c r="B32" s="14" t="s">
        <v>62</v>
      </c>
      <c r="C32" s="5">
        <v>500</v>
      </c>
      <c r="D32" s="10"/>
    </row>
    <row r="33" spans="1:4" ht="23.4" x14ac:dyDescent="0.3">
      <c r="A33" s="22">
        <v>46189</v>
      </c>
      <c r="B33" s="13" t="s">
        <v>64</v>
      </c>
      <c r="C33" s="9">
        <v>-162</v>
      </c>
      <c r="D33" s="10"/>
    </row>
    <row r="34" spans="1:4" ht="23.4" x14ac:dyDescent="0.3">
      <c r="A34" s="22">
        <v>46189</v>
      </c>
      <c r="B34" s="15" t="s">
        <v>39</v>
      </c>
      <c r="C34" s="16">
        <v>-45</v>
      </c>
      <c r="D34" s="17"/>
    </row>
    <row r="35" spans="1:4" ht="23.4" x14ac:dyDescent="0.3">
      <c r="A35" s="23"/>
      <c r="B35" s="19"/>
      <c r="C35" s="20"/>
      <c r="D35" s="21"/>
    </row>
    <row r="36" spans="1:4" ht="23.4" x14ac:dyDescent="0.3">
      <c r="A36" s="23"/>
      <c r="B36" s="19"/>
      <c r="C36" s="20"/>
      <c r="D36" s="21"/>
    </row>
    <row r="37" spans="1:4" ht="23.4" x14ac:dyDescent="0.3">
      <c r="A37" s="18"/>
      <c r="B37" s="19"/>
      <c r="C37" s="20"/>
      <c r="D37" s="21"/>
    </row>
    <row r="38" spans="1:4" ht="23.4" x14ac:dyDescent="0.3">
      <c r="A38" s="18"/>
      <c r="B38" s="19"/>
      <c r="C38" s="20"/>
      <c r="D38" s="21"/>
    </row>
    <row r="39" spans="1:4" ht="23.4" x14ac:dyDescent="0.3">
      <c r="A39" s="18"/>
      <c r="B39" s="19"/>
      <c r="C39" s="20"/>
      <c r="D39" s="21"/>
    </row>
    <row r="40" spans="1:4" ht="23.4" x14ac:dyDescent="0.3">
      <c r="A40" s="18"/>
      <c r="B40" s="19"/>
      <c r="C40" s="20"/>
      <c r="D40" s="21"/>
    </row>
    <row r="41" spans="1:4" ht="23.4" x14ac:dyDescent="0.3">
      <c r="A41" s="18"/>
      <c r="B41" s="19"/>
      <c r="C41" s="20"/>
      <c r="D41" s="21"/>
    </row>
    <row r="42" spans="1:4" ht="23.4" x14ac:dyDescent="0.3">
      <c r="A42" s="18"/>
      <c r="B42" s="19"/>
      <c r="C42" s="20"/>
      <c r="D42" s="21"/>
    </row>
    <row r="43" spans="1:4" ht="23.4" x14ac:dyDescent="0.3">
      <c r="A43" s="18"/>
      <c r="B43" s="19"/>
      <c r="C43" s="20"/>
      <c r="D43" s="21"/>
    </row>
    <row r="44" spans="1:4" ht="23.4" x14ac:dyDescent="0.3">
      <c r="B44" s="19"/>
      <c r="C44" s="20"/>
      <c r="D44" s="60"/>
    </row>
    <row r="45" spans="1:4" ht="23.4" x14ac:dyDescent="0.3">
      <c r="B45" s="3" t="s">
        <v>65</v>
      </c>
      <c r="C45" s="6">
        <f>SUM(C5:C43)</f>
        <v>1585.2700000000002</v>
      </c>
    </row>
  </sheetData>
  <phoneticPr fontId="2" alignment="center"/>
  <pageMargins left="0" right="0" top="0" bottom="0" header="0" footer="0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Individual_Payments</vt:lpstr>
      <vt:lpstr>General_Expenses</vt:lpstr>
    </vt:vector>
  </TitlesOfParts>
  <Manager/>
  <Company>Accenture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Al-Moghalliq, Hussain</dc:creator>
  <cp:keywords/>
  <dc:description/>
  <cp:lastModifiedBy>Hussain Almoghalliq</cp:lastModifiedBy>
  <cp:revision/>
  <dcterms:created xsi:type="dcterms:W3CDTF">2016-02-24T06:27:50Z</dcterms:created>
  <dcterms:modified xsi:type="dcterms:W3CDTF">2026-06-25T08:14:50Z</dcterms:modified>
  <cp:category/>
  <cp:contentStatus/>
</cp:coreProperties>
</file>